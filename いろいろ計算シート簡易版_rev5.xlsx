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TMY\Documents\GitHub\calculator_speaker_headphone\"/>
    </mc:Choice>
  </mc:AlternateContent>
  <bookViews>
    <workbookView xWindow="0" yWindow="0" windowWidth="26370" windowHeight="10815"/>
  </bookViews>
  <sheets>
    <sheet name="TSparameter関連" sheetId="7" r:id="rId1"/>
    <sheet name="低音域音圧計算" sheetId="10" r:id="rId2"/>
    <sheet name="ネットワーク定数計算" sheetId="6" r:id="rId3"/>
  </sheets>
  <externalReferences>
    <externalReference r:id="rId4"/>
    <externalReference r:id="rId5"/>
  </externalReferences>
  <calcPr calcId="162913"/>
</workbook>
</file>

<file path=xl/calcChain.xml><?xml version="1.0" encoding="utf-8"?>
<calcChain xmlns="http://schemas.openxmlformats.org/spreadsheetml/2006/main">
  <c r="E26" i="10" l="1"/>
  <c r="R94" i="7" l="1"/>
  <c r="R95" i="7"/>
  <c r="R93" i="7" s="1"/>
  <c r="N93" i="7" s="1"/>
  <c r="R85" i="7" l="1"/>
  <c r="R84" i="7" s="1"/>
  <c r="N84" i="7" s="1"/>
  <c r="R83" i="7"/>
  <c r="R75" i="7" l="1"/>
  <c r="R74" i="7"/>
  <c r="R73" i="7"/>
  <c r="N72" i="7" s="1"/>
  <c r="I93" i="7" l="1"/>
  <c r="I97" i="7" s="1"/>
  <c r="I95" i="7" l="1"/>
  <c r="I96" i="7"/>
  <c r="I87" i="7"/>
  <c r="L4" i="6" l="1"/>
  <c r="C18" i="10"/>
  <c r="I75" i="7" l="1"/>
  <c r="I74" i="7"/>
  <c r="I73" i="7"/>
  <c r="I77" i="7" l="1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F14" i="10"/>
  <c r="I6" i="10"/>
  <c r="I5" i="10"/>
  <c r="I8" i="10" l="1"/>
  <c r="I10" i="10"/>
  <c r="D270" i="10" l="1"/>
  <c r="E270" i="10" s="1"/>
  <c r="D116" i="10"/>
  <c r="E116" i="10" s="1"/>
  <c r="D244" i="10"/>
  <c r="E244" i="10" s="1"/>
  <c r="D89" i="10"/>
  <c r="E89" i="10" s="1"/>
  <c r="D217" i="10"/>
  <c r="E217" i="10" s="1"/>
  <c r="D62" i="10"/>
  <c r="E62" i="10" s="1"/>
  <c r="D190" i="10"/>
  <c r="E190" i="10" s="1"/>
  <c r="D23" i="10"/>
  <c r="E23" i="10" s="1"/>
  <c r="D71" i="10"/>
  <c r="E71" i="10" s="1"/>
  <c r="D167" i="10"/>
  <c r="E167" i="10" s="1"/>
  <c r="D247" i="10"/>
  <c r="E247" i="10" s="1"/>
  <c r="D132" i="10"/>
  <c r="E132" i="10" s="1"/>
  <c r="D105" i="10"/>
  <c r="E105" i="10" s="1"/>
  <c r="D233" i="10"/>
  <c r="E233" i="10" s="1"/>
  <c r="D206" i="10"/>
  <c r="E206" i="10" s="1"/>
  <c r="D27" i="10"/>
  <c r="E27" i="10" s="1"/>
  <c r="D103" i="10"/>
  <c r="E103" i="10" s="1"/>
  <c r="D183" i="10"/>
  <c r="E183" i="10" s="1"/>
  <c r="D263" i="10"/>
  <c r="E263" i="10" s="1"/>
  <c r="D48" i="10"/>
  <c r="E48" i="10" s="1"/>
  <c r="D180" i="10"/>
  <c r="E180" i="10" s="1"/>
  <c r="D25" i="10"/>
  <c r="E25" i="10" s="1"/>
  <c r="D153" i="10"/>
  <c r="E153" i="10" s="1"/>
  <c r="D281" i="10"/>
  <c r="E281" i="10" s="1"/>
  <c r="D126" i="10"/>
  <c r="E126" i="10" s="1"/>
  <c r="D254" i="10"/>
  <c r="E254" i="10" s="1"/>
  <c r="D55" i="10"/>
  <c r="E55" i="10" s="1"/>
  <c r="D135" i="10"/>
  <c r="E135" i="10" s="1"/>
  <c r="D231" i="10"/>
  <c r="E231" i="10" s="1"/>
  <c r="D260" i="10"/>
  <c r="E260" i="10" s="1"/>
  <c r="D78" i="10"/>
  <c r="E78" i="10" s="1"/>
  <c r="D43" i="10"/>
  <c r="E43" i="10" s="1"/>
  <c r="D119" i="10"/>
  <c r="E119" i="10" s="1"/>
  <c r="D199" i="10"/>
  <c r="E199" i="10" s="1"/>
  <c r="D295" i="10"/>
  <c r="E295" i="10" s="1"/>
  <c r="D64" i="10"/>
  <c r="E64" i="10" s="1"/>
  <c r="D196" i="10"/>
  <c r="E196" i="10" s="1"/>
  <c r="D41" i="10"/>
  <c r="E41" i="10" s="1"/>
  <c r="D169" i="10"/>
  <c r="E169" i="10" s="1"/>
  <c r="D297" i="10"/>
  <c r="E297" i="10" s="1"/>
  <c r="D142" i="10"/>
  <c r="E142" i="10" s="1"/>
  <c r="D291" i="10"/>
  <c r="E291" i="10" s="1"/>
  <c r="D275" i="10"/>
  <c r="E275" i="10" s="1"/>
  <c r="D259" i="10"/>
  <c r="E259" i="10" s="1"/>
  <c r="D243" i="10"/>
  <c r="E243" i="10" s="1"/>
  <c r="D227" i="10"/>
  <c r="E227" i="10" s="1"/>
  <c r="D211" i="10"/>
  <c r="E211" i="10" s="1"/>
  <c r="D195" i="10"/>
  <c r="E195" i="10" s="1"/>
  <c r="D179" i="10"/>
  <c r="E179" i="10" s="1"/>
  <c r="D163" i="10"/>
  <c r="E163" i="10" s="1"/>
  <c r="D147" i="10"/>
  <c r="E147" i="10" s="1"/>
  <c r="D131" i="10"/>
  <c r="E131" i="10" s="1"/>
  <c r="D115" i="10"/>
  <c r="E115" i="10" s="1"/>
  <c r="D99" i="10"/>
  <c r="E99" i="10" s="1"/>
  <c r="D83" i="10"/>
  <c r="E83" i="10" s="1"/>
  <c r="D67" i="10"/>
  <c r="E67" i="10" s="1"/>
  <c r="D51" i="10"/>
  <c r="E51" i="10" s="1"/>
  <c r="D35" i="10"/>
  <c r="E35" i="10" s="1"/>
  <c r="D19" i="10"/>
  <c r="E19" i="10" s="1"/>
  <c r="D21" i="10"/>
  <c r="E21" i="10" s="1"/>
  <c r="D294" i="10"/>
  <c r="E294" i="10" s="1"/>
  <c r="D278" i="10"/>
  <c r="E278" i="10" s="1"/>
  <c r="D262" i="10"/>
  <c r="E262" i="10" s="1"/>
  <c r="D246" i="10"/>
  <c r="E246" i="10" s="1"/>
  <c r="D230" i="10"/>
  <c r="E230" i="10" s="1"/>
  <c r="D214" i="10"/>
  <c r="E214" i="10" s="1"/>
  <c r="D198" i="10"/>
  <c r="E198" i="10" s="1"/>
  <c r="D182" i="10"/>
  <c r="E182" i="10" s="1"/>
  <c r="D166" i="10"/>
  <c r="E166" i="10" s="1"/>
  <c r="D150" i="10"/>
  <c r="E150" i="10" s="1"/>
  <c r="D134" i="10"/>
  <c r="E134" i="10" s="1"/>
  <c r="D118" i="10"/>
  <c r="E118" i="10" s="1"/>
  <c r="D102" i="10"/>
  <c r="E102" i="10" s="1"/>
  <c r="D86" i="10"/>
  <c r="E86" i="10" s="1"/>
  <c r="D70" i="10"/>
  <c r="E70" i="10" s="1"/>
  <c r="D54" i="10"/>
  <c r="E54" i="10" s="1"/>
  <c r="D38" i="10"/>
  <c r="E38" i="10" s="1"/>
  <c r="D305" i="10"/>
  <c r="E305" i="10" s="1"/>
  <c r="D289" i="10"/>
  <c r="E289" i="10" s="1"/>
  <c r="D273" i="10"/>
  <c r="E273" i="10" s="1"/>
  <c r="D257" i="10"/>
  <c r="E257" i="10" s="1"/>
  <c r="D241" i="10"/>
  <c r="E241" i="10" s="1"/>
  <c r="D225" i="10"/>
  <c r="E225" i="10" s="1"/>
  <c r="D209" i="10"/>
  <c r="E209" i="10" s="1"/>
  <c r="D193" i="10"/>
  <c r="E193" i="10" s="1"/>
  <c r="D177" i="10"/>
  <c r="E177" i="10" s="1"/>
  <c r="D161" i="10"/>
  <c r="E161" i="10" s="1"/>
  <c r="D145" i="10"/>
  <c r="E145" i="10" s="1"/>
  <c r="D129" i="10"/>
  <c r="E129" i="10" s="1"/>
  <c r="D113" i="10"/>
  <c r="E113" i="10" s="1"/>
  <c r="D97" i="10"/>
  <c r="E97" i="10" s="1"/>
  <c r="D81" i="10"/>
  <c r="E81" i="10" s="1"/>
  <c r="D65" i="10"/>
  <c r="E65" i="10" s="1"/>
  <c r="D49" i="10"/>
  <c r="E49" i="10" s="1"/>
  <c r="D33" i="10"/>
  <c r="E33" i="10" s="1"/>
  <c r="D300" i="10"/>
  <c r="E300" i="10" s="1"/>
  <c r="D284" i="10"/>
  <c r="E284" i="10" s="1"/>
  <c r="D268" i="10"/>
  <c r="E268" i="10" s="1"/>
  <c r="D252" i="10"/>
  <c r="E252" i="10" s="1"/>
  <c r="D236" i="10"/>
  <c r="E236" i="10" s="1"/>
  <c r="D220" i="10"/>
  <c r="E220" i="10" s="1"/>
  <c r="D204" i="10"/>
  <c r="E204" i="10" s="1"/>
  <c r="D188" i="10"/>
  <c r="E188" i="10" s="1"/>
  <c r="D172" i="10"/>
  <c r="E172" i="10" s="1"/>
  <c r="D156" i="10"/>
  <c r="E156" i="10" s="1"/>
  <c r="D140" i="10"/>
  <c r="E140" i="10" s="1"/>
  <c r="D124" i="10"/>
  <c r="E124" i="10" s="1"/>
  <c r="D108" i="10"/>
  <c r="E108" i="10" s="1"/>
  <c r="D92" i="10"/>
  <c r="E92" i="10" s="1"/>
  <c r="D72" i="10"/>
  <c r="E72" i="10" s="1"/>
  <c r="D56" i="10"/>
  <c r="E56" i="10" s="1"/>
  <c r="D40" i="10"/>
  <c r="E40" i="10" s="1"/>
  <c r="D24" i="10"/>
  <c r="E24" i="10" s="1"/>
  <c r="D303" i="10"/>
  <c r="E303" i="10" s="1"/>
  <c r="D287" i="10"/>
  <c r="E287" i="10" s="1"/>
  <c r="D271" i="10"/>
  <c r="E271" i="10" s="1"/>
  <c r="D255" i="10"/>
  <c r="E255" i="10" s="1"/>
  <c r="D239" i="10"/>
  <c r="E239" i="10" s="1"/>
  <c r="D223" i="10"/>
  <c r="E223" i="10" s="1"/>
  <c r="D207" i="10"/>
  <c r="E207" i="10" s="1"/>
  <c r="D191" i="10"/>
  <c r="E191" i="10" s="1"/>
  <c r="D175" i="10"/>
  <c r="E175" i="10" s="1"/>
  <c r="D159" i="10"/>
  <c r="E159" i="10" s="1"/>
  <c r="D143" i="10"/>
  <c r="E143" i="10" s="1"/>
  <c r="D127" i="10"/>
  <c r="E127" i="10" s="1"/>
  <c r="D111" i="10"/>
  <c r="E111" i="10" s="1"/>
  <c r="D95" i="10"/>
  <c r="E95" i="10" s="1"/>
  <c r="D79" i="10"/>
  <c r="E79" i="10" s="1"/>
  <c r="D63" i="10"/>
  <c r="E63" i="10" s="1"/>
  <c r="D47" i="10"/>
  <c r="E47" i="10" s="1"/>
  <c r="D31" i="10"/>
  <c r="E31" i="10" s="1"/>
  <c r="D76" i="10"/>
  <c r="E76" i="10" s="1"/>
  <c r="D290" i="10"/>
  <c r="E290" i="10" s="1"/>
  <c r="D274" i="10"/>
  <c r="E274" i="10" s="1"/>
  <c r="D258" i="10"/>
  <c r="E258" i="10" s="1"/>
  <c r="D242" i="10"/>
  <c r="E242" i="10" s="1"/>
  <c r="D226" i="10"/>
  <c r="E226" i="10" s="1"/>
  <c r="D210" i="10"/>
  <c r="E210" i="10" s="1"/>
  <c r="D194" i="10"/>
  <c r="E194" i="10" s="1"/>
  <c r="D178" i="10"/>
  <c r="E178" i="10" s="1"/>
  <c r="D162" i="10"/>
  <c r="E162" i="10" s="1"/>
  <c r="D146" i="10"/>
  <c r="E146" i="10" s="1"/>
  <c r="D130" i="10"/>
  <c r="E130" i="10" s="1"/>
  <c r="D114" i="10"/>
  <c r="E114" i="10" s="1"/>
  <c r="D98" i="10"/>
  <c r="E98" i="10" s="1"/>
  <c r="D82" i="10"/>
  <c r="D66" i="10"/>
  <c r="E66" i="10" s="1"/>
  <c r="D50" i="10"/>
  <c r="E50" i="10" s="1"/>
  <c r="D34" i="10"/>
  <c r="E34" i="10" s="1"/>
  <c r="D301" i="10"/>
  <c r="E301" i="10" s="1"/>
  <c r="D285" i="10"/>
  <c r="E285" i="10" s="1"/>
  <c r="D269" i="10"/>
  <c r="E269" i="10" s="1"/>
  <c r="D253" i="10"/>
  <c r="E253" i="10" s="1"/>
  <c r="D237" i="10"/>
  <c r="E237" i="10" s="1"/>
  <c r="D221" i="10"/>
  <c r="E221" i="10" s="1"/>
  <c r="D205" i="10"/>
  <c r="E205" i="10" s="1"/>
  <c r="D189" i="10"/>
  <c r="E189" i="10" s="1"/>
  <c r="D173" i="10"/>
  <c r="E173" i="10" s="1"/>
  <c r="D157" i="10"/>
  <c r="E157" i="10" s="1"/>
  <c r="D141" i="10"/>
  <c r="E141" i="10" s="1"/>
  <c r="D125" i="10"/>
  <c r="E125" i="10" s="1"/>
  <c r="D109" i="10"/>
  <c r="E109" i="10" s="1"/>
  <c r="D93" i="10"/>
  <c r="E93" i="10" s="1"/>
  <c r="D77" i="10"/>
  <c r="E77" i="10" s="1"/>
  <c r="D61" i="10"/>
  <c r="E61" i="10" s="1"/>
  <c r="D45" i="10"/>
  <c r="E45" i="10" s="1"/>
  <c r="D29" i="10"/>
  <c r="E29" i="10" s="1"/>
  <c r="D296" i="10"/>
  <c r="E296" i="10" s="1"/>
  <c r="D280" i="10"/>
  <c r="E280" i="10" s="1"/>
  <c r="D264" i="10"/>
  <c r="E264" i="10" s="1"/>
  <c r="D248" i="10"/>
  <c r="E248" i="10" s="1"/>
  <c r="D232" i="10"/>
  <c r="E232" i="10" s="1"/>
  <c r="D216" i="10"/>
  <c r="E216" i="10" s="1"/>
  <c r="D200" i="10"/>
  <c r="E200" i="10" s="1"/>
  <c r="D184" i="10"/>
  <c r="E184" i="10" s="1"/>
  <c r="D168" i="10"/>
  <c r="E168" i="10" s="1"/>
  <c r="D152" i="10"/>
  <c r="E152" i="10" s="1"/>
  <c r="D136" i="10"/>
  <c r="E136" i="10" s="1"/>
  <c r="D120" i="10"/>
  <c r="E120" i="10" s="1"/>
  <c r="D104" i="10"/>
  <c r="E104" i="10" s="1"/>
  <c r="D88" i="10"/>
  <c r="E88" i="10" s="1"/>
  <c r="D68" i="10"/>
  <c r="E68" i="10" s="1"/>
  <c r="D52" i="10"/>
  <c r="E52" i="10" s="1"/>
  <c r="D36" i="10"/>
  <c r="E36" i="10" s="1"/>
  <c r="D20" i="10"/>
  <c r="E20" i="10" s="1"/>
  <c r="D299" i="10"/>
  <c r="E299" i="10" s="1"/>
  <c r="D283" i="10"/>
  <c r="E283" i="10" s="1"/>
  <c r="D267" i="10"/>
  <c r="E267" i="10" s="1"/>
  <c r="D251" i="10"/>
  <c r="E251" i="10" s="1"/>
  <c r="D235" i="10"/>
  <c r="E235" i="10" s="1"/>
  <c r="D219" i="10"/>
  <c r="E219" i="10" s="1"/>
  <c r="D203" i="10"/>
  <c r="E203" i="10" s="1"/>
  <c r="D187" i="10"/>
  <c r="E187" i="10" s="1"/>
  <c r="D171" i="10"/>
  <c r="E171" i="10" s="1"/>
  <c r="D155" i="10"/>
  <c r="E155" i="10" s="1"/>
  <c r="D139" i="10"/>
  <c r="E139" i="10" s="1"/>
  <c r="D123" i="10"/>
  <c r="E123" i="10" s="1"/>
  <c r="D107" i="10"/>
  <c r="E107" i="10" s="1"/>
  <c r="D91" i="10"/>
  <c r="E91" i="10" s="1"/>
  <c r="D75" i="10"/>
  <c r="E75" i="10" s="1"/>
  <c r="D59" i="10"/>
  <c r="E59" i="10" s="1"/>
  <c r="D84" i="10"/>
  <c r="E84" i="10" s="1"/>
  <c r="D148" i="10"/>
  <c r="E148" i="10" s="1"/>
  <c r="D212" i="10"/>
  <c r="E212" i="10" s="1"/>
  <c r="D276" i="10"/>
  <c r="E276" i="10" s="1"/>
  <c r="D57" i="10"/>
  <c r="E57" i="10" s="1"/>
  <c r="D121" i="10"/>
  <c r="E121" i="10" s="1"/>
  <c r="D185" i="10"/>
  <c r="E185" i="10" s="1"/>
  <c r="D249" i="10"/>
  <c r="E249" i="10" s="1"/>
  <c r="D30" i="10"/>
  <c r="E30" i="10" s="1"/>
  <c r="D94" i="10"/>
  <c r="E94" i="10" s="1"/>
  <c r="D158" i="10"/>
  <c r="E158" i="10" s="1"/>
  <c r="D222" i="10"/>
  <c r="E222" i="10" s="1"/>
  <c r="D286" i="10"/>
  <c r="E286" i="10" s="1"/>
  <c r="D39" i="10"/>
  <c r="E39" i="10" s="1"/>
  <c r="D87" i="10"/>
  <c r="E87" i="10" s="1"/>
  <c r="D151" i="10"/>
  <c r="E151" i="10" s="1"/>
  <c r="D215" i="10"/>
  <c r="D279" i="10"/>
  <c r="E279" i="10" s="1"/>
  <c r="D32" i="10"/>
  <c r="E32" i="10" s="1"/>
  <c r="D100" i="10"/>
  <c r="E100" i="10" s="1"/>
  <c r="D164" i="10"/>
  <c r="E164" i="10" s="1"/>
  <c r="D228" i="10"/>
  <c r="E228" i="10" s="1"/>
  <c r="D292" i="10"/>
  <c r="E292" i="10" s="1"/>
  <c r="D73" i="10"/>
  <c r="E73" i="10" s="1"/>
  <c r="D137" i="10"/>
  <c r="E137" i="10" s="1"/>
  <c r="D201" i="10"/>
  <c r="E201" i="10" s="1"/>
  <c r="D265" i="10"/>
  <c r="E265" i="10" s="1"/>
  <c r="D46" i="10"/>
  <c r="E46" i="10" s="1"/>
  <c r="D110" i="10"/>
  <c r="E110" i="10" s="1"/>
  <c r="D174" i="10"/>
  <c r="E174" i="10" s="1"/>
  <c r="D238" i="10"/>
  <c r="E238" i="10" s="1"/>
  <c r="D302" i="10"/>
  <c r="E302" i="10" s="1"/>
  <c r="D18" i="10"/>
  <c r="D28" i="10"/>
  <c r="E28" i="10" s="1"/>
  <c r="D44" i="10"/>
  <c r="E44" i="10" s="1"/>
  <c r="D60" i="10"/>
  <c r="E60" i="10" s="1"/>
  <c r="D80" i="10"/>
  <c r="E80" i="10" s="1"/>
  <c r="D96" i="10"/>
  <c r="E96" i="10" s="1"/>
  <c r="D112" i="10"/>
  <c r="E112" i="10" s="1"/>
  <c r="D128" i="10"/>
  <c r="E128" i="10" s="1"/>
  <c r="D144" i="10"/>
  <c r="E144" i="10" s="1"/>
  <c r="D160" i="10"/>
  <c r="E160" i="10" s="1"/>
  <c r="D176" i="10"/>
  <c r="E176" i="10" s="1"/>
  <c r="D192" i="10"/>
  <c r="E192" i="10" s="1"/>
  <c r="D208" i="10"/>
  <c r="E208" i="10" s="1"/>
  <c r="D224" i="10"/>
  <c r="E224" i="10" s="1"/>
  <c r="D240" i="10"/>
  <c r="E240" i="10" s="1"/>
  <c r="D256" i="10"/>
  <c r="E256" i="10" s="1"/>
  <c r="D272" i="10"/>
  <c r="E272" i="10" s="1"/>
  <c r="D288" i="10"/>
  <c r="E288" i="10" s="1"/>
  <c r="D304" i="10"/>
  <c r="E304" i="10" s="1"/>
  <c r="D37" i="10"/>
  <c r="E37" i="10" s="1"/>
  <c r="D53" i="10"/>
  <c r="E53" i="10" s="1"/>
  <c r="D69" i="10"/>
  <c r="E69" i="10" s="1"/>
  <c r="D85" i="10"/>
  <c r="E85" i="10" s="1"/>
  <c r="D101" i="10"/>
  <c r="E101" i="10" s="1"/>
  <c r="D117" i="10"/>
  <c r="E117" i="10" s="1"/>
  <c r="D133" i="10"/>
  <c r="E133" i="10" s="1"/>
  <c r="D149" i="10"/>
  <c r="E149" i="10" s="1"/>
  <c r="D165" i="10"/>
  <c r="E165" i="10" s="1"/>
  <c r="D181" i="10"/>
  <c r="E181" i="10" s="1"/>
  <c r="D197" i="10"/>
  <c r="E197" i="10" s="1"/>
  <c r="D213" i="10"/>
  <c r="E213" i="10" s="1"/>
  <c r="D229" i="10"/>
  <c r="E229" i="10" s="1"/>
  <c r="D245" i="10"/>
  <c r="E245" i="10" s="1"/>
  <c r="D261" i="10"/>
  <c r="E261" i="10" s="1"/>
  <c r="D277" i="10"/>
  <c r="E277" i="10" s="1"/>
  <c r="D293" i="10"/>
  <c r="E293" i="10" s="1"/>
  <c r="D26" i="10"/>
  <c r="D42" i="10"/>
  <c r="E42" i="10" s="1"/>
  <c r="D58" i="10"/>
  <c r="E58" i="10" s="1"/>
  <c r="D74" i="10"/>
  <c r="E74" i="10" s="1"/>
  <c r="D90" i="10"/>
  <c r="E90" i="10" s="1"/>
  <c r="D106" i="10"/>
  <c r="E106" i="10" s="1"/>
  <c r="D122" i="10"/>
  <c r="E122" i="10" s="1"/>
  <c r="D138" i="10"/>
  <c r="E138" i="10" s="1"/>
  <c r="D154" i="10"/>
  <c r="E154" i="10" s="1"/>
  <c r="D170" i="10"/>
  <c r="E170" i="10" s="1"/>
  <c r="D186" i="10"/>
  <c r="E186" i="10" s="1"/>
  <c r="D202" i="10"/>
  <c r="E202" i="10" s="1"/>
  <c r="D218" i="10"/>
  <c r="E218" i="10" s="1"/>
  <c r="D234" i="10"/>
  <c r="E234" i="10" s="1"/>
  <c r="D250" i="10"/>
  <c r="E250" i="10" s="1"/>
  <c r="D266" i="10"/>
  <c r="E266" i="10" s="1"/>
  <c r="D282" i="10"/>
  <c r="E282" i="10" s="1"/>
  <c r="D298" i="10"/>
  <c r="E298" i="10" s="1"/>
  <c r="D22" i="10"/>
  <c r="E22" i="10" s="1"/>
  <c r="E18" i="10"/>
  <c r="E82" i="10"/>
  <c r="E215" i="10"/>
  <c r="F64" i="7" l="1"/>
  <c r="I56" i="7"/>
  <c r="I58" i="7" s="1"/>
  <c r="I62" i="7" s="1"/>
  <c r="I55" i="7"/>
  <c r="O43" i="7"/>
  <c r="R41" i="7"/>
  <c r="I42" i="7"/>
  <c r="R28" i="7"/>
  <c r="R31" i="7" s="1"/>
  <c r="I29" i="7"/>
  <c r="I32" i="7" s="1"/>
  <c r="P20" i="7"/>
  <c r="P19" i="7"/>
  <c r="G21" i="7"/>
  <c r="O8" i="7"/>
  <c r="O11" i="7" s="1"/>
  <c r="G8" i="7"/>
  <c r="E11" i="7" s="1"/>
  <c r="G7" i="7"/>
  <c r="O45" i="7" l="1"/>
  <c r="R45" i="7" s="1"/>
  <c r="P22" i="7"/>
  <c r="I60" i="7"/>
  <c r="I66" i="7" s="1"/>
  <c r="I46" i="7"/>
  <c r="I44" i="7"/>
  <c r="O10" i="7"/>
  <c r="R51" i="6"/>
  <c r="R50" i="6"/>
  <c r="R47" i="6"/>
  <c r="R46" i="6"/>
  <c r="R49" i="6"/>
  <c r="R48" i="6"/>
  <c r="R45" i="6"/>
  <c r="R44" i="6"/>
  <c r="R43" i="6"/>
  <c r="R42" i="6"/>
  <c r="R39" i="6"/>
  <c r="R38" i="6"/>
  <c r="R41" i="6"/>
  <c r="R40" i="6"/>
  <c r="R37" i="6"/>
  <c r="R36" i="6"/>
  <c r="R35" i="6"/>
  <c r="R34" i="6"/>
  <c r="R31" i="6"/>
  <c r="R30" i="6"/>
  <c r="R33" i="6"/>
  <c r="R32" i="6"/>
  <c r="R29" i="6"/>
  <c r="R28" i="6"/>
  <c r="R27" i="6"/>
  <c r="R26" i="6"/>
  <c r="R23" i="6"/>
  <c r="R22" i="6"/>
  <c r="R25" i="6"/>
  <c r="R24" i="6"/>
  <c r="R21" i="6"/>
  <c r="R20" i="6"/>
  <c r="R19" i="6"/>
  <c r="R18" i="6"/>
  <c r="R15" i="6"/>
  <c r="R14" i="6"/>
  <c r="R17" i="6"/>
  <c r="R16" i="6"/>
  <c r="R13" i="6"/>
  <c r="R12" i="6"/>
  <c r="R11" i="6"/>
  <c r="R10" i="6"/>
  <c r="R7" i="6"/>
  <c r="R6" i="6"/>
  <c r="R9" i="6"/>
  <c r="R8" i="6"/>
  <c r="R5" i="6"/>
  <c r="R4" i="6"/>
  <c r="L25" i="6"/>
  <c r="L24" i="6"/>
  <c r="L26" i="6"/>
  <c r="L27" i="6"/>
  <c r="I48" i="7" l="1"/>
  <c r="L23" i="6"/>
  <c r="L22" i="6"/>
  <c r="L21" i="6"/>
  <c r="L20" i="6"/>
  <c r="L19" i="6"/>
  <c r="L18" i="6"/>
  <c r="L17" i="6"/>
  <c r="L15" i="6"/>
  <c r="L16" i="6"/>
  <c r="L14" i="6"/>
  <c r="L8" i="6"/>
  <c r="L6" i="6"/>
  <c r="L13" i="6"/>
  <c r="L11" i="6"/>
  <c r="L12" i="6"/>
  <c r="L10" i="6"/>
  <c r="L9" i="6"/>
  <c r="L7" i="6"/>
  <c r="L5" i="6"/>
</calcChain>
</file>

<file path=xl/sharedStrings.xml><?xml version="1.0" encoding="utf-8"?>
<sst xmlns="http://schemas.openxmlformats.org/spreadsheetml/2006/main" count="442" uniqueCount="131">
  <si>
    <t>値</t>
    <rPh sb="0" eb="1">
      <t>アタイ</t>
    </rPh>
    <phoneticPr fontId="2"/>
  </si>
  <si>
    <t>単位</t>
    <rPh sb="0" eb="2">
      <t>タンイ</t>
    </rPh>
    <phoneticPr fontId="2"/>
  </si>
  <si>
    <t>ohm</t>
    <phoneticPr fontId="2"/>
  </si>
  <si>
    <t>抵抗値</t>
    <rPh sb="0" eb="3">
      <t>テイコウチ</t>
    </rPh>
    <phoneticPr fontId="2"/>
  </si>
  <si>
    <t>Hz</t>
    <phoneticPr fontId="2"/>
  </si>
  <si>
    <t>希望カットオフ周波数</t>
    <rPh sb="0" eb="2">
      <t>キボウ</t>
    </rPh>
    <rPh sb="7" eb="10">
      <t>シュウハスウ</t>
    </rPh>
    <phoneticPr fontId="2"/>
  </si>
  <si>
    <t>dB</t>
    <phoneticPr fontId="2"/>
  </si>
  <si>
    <t>SPL</t>
    <phoneticPr fontId="2"/>
  </si>
  <si>
    <t>μF</t>
    <phoneticPr fontId="2"/>
  </si>
  <si>
    <t>Woofer</t>
    <phoneticPr fontId="2"/>
  </si>
  <si>
    <t>Tweeter</t>
    <phoneticPr fontId="2"/>
  </si>
  <si>
    <t>C1</t>
    <phoneticPr fontId="1"/>
  </si>
  <si>
    <t>L1</t>
    <phoneticPr fontId="1"/>
  </si>
  <si>
    <t>mH</t>
    <phoneticPr fontId="1"/>
  </si>
  <si>
    <t>First order</t>
    <phoneticPr fontId="1"/>
  </si>
  <si>
    <t>Second order</t>
    <phoneticPr fontId="1"/>
  </si>
  <si>
    <t>Linkwitz-Riley</t>
    <phoneticPr fontId="1"/>
  </si>
  <si>
    <t>C2</t>
    <phoneticPr fontId="1"/>
  </si>
  <si>
    <t>L2</t>
    <phoneticPr fontId="1"/>
  </si>
  <si>
    <t>Bessel</t>
    <phoneticPr fontId="1"/>
  </si>
  <si>
    <t>Butterworth</t>
    <phoneticPr fontId="1"/>
  </si>
  <si>
    <t>Chebychev</t>
    <phoneticPr fontId="1"/>
  </si>
  <si>
    <t>Third order</t>
    <phoneticPr fontId="1"/>
  </si>
  <si>
    <t>Fourth order</t>
    <phoneticPr fontId="1"/>
  </si>
  <si>
    <t>L3</t>
    <phoneticPr fontId="1"/>
  </si>
  <si>
    <t>C3</t>
    <phoneticPr fontId="1"/>
  </si>
  <si>
    <t>C4</t>
    <phoneticPr fontId="1"/>
  </si>
  <si>
    <t>L4</t>
    <phoneticPr fontId="1"/>
  </si>
  <si>
    <t>Legendre</t>
    <phoneticPr fontId="1"/>
  </si>
  <si>
    <t>Gaussian</t>
    <phoneticPr fontId="1"/>
  </si>
  <si>
    <t>Linear-Phase</t>
    <phoneticPr fontId="1"/>
  </si>
  <si>
    <t>←入力</t>
    <rPh sb="1" eb="3">
      <t>ニュウリョク</t>
    </rPh>
    <phoneticPr fontId="5"/>
  </si>
  <si>
    <t>←計算結果</t>
    <rPh sb="1" eb="3">
      <t>ケイサン</t>
    </rPh>
    <rPh sb="3" eb="5">
      <t>ケッカ</t>
    </rPh>
    <phoneticPr fontId="5"/>
  </si>
  <si>
    <t>F0計算</t>
    <rPh sb="2" eb="4">
      <t>ケイサン</t>
    </rPh>
    <phoneticPr fontId="5"/>
  </si>
  <si>
    <t>単位変換</t>
    <rPh sb="0" eb="2">
      <t>タンイ</t>
    </rPh>
    <rPh sb="2" eb="4">
      <t>ヘンカン</t>
    </rPh>
    <phoneticPr fontId="5"/>
  </si>
  <si>
    <t>→</t>
    <phoneticPr fontId="5"/>
  </si>
  <si>
    <t>Mms</t>
    <phoneticPr fontId="5"/>
  </si>
  <si>
    <t>[g]</t>
    <phoneticPr fontId="5"/>
  </si>
  <si>
    <t>[kg]</t>
    <phoneticPr fontId="5"/>
  </si>
  <si>
    <t>Kms</t>
    <phoneticPr fontId="5"/>
  </si>
  <si>
    <t>[N/mm]</t>
    <phoneticPr fontId="5"/>
  </si>
  <si>
    <t>[N/m]</t>
    <phoneticPr fontId="5"/>
  </si>
  <si>
    <t>F0</t>
    <phoneticPr fontId="5"/>
  </si>
  <si>
    <t>[Hz]</t>
    <phoneticPr fontId="5"/>
  </si>
  <si>
    <t>空気負荷質量の計算</t>
    <rPh sb="0" eb="2">
      <t>クウキ</t>
    </rPh>
    <rPh sb="2" eb="4">
      <t>フカ</t>
    </rPh>
    <rPh sb="4" eb="6">
      <t>シツリョウ</t>
    </rPh>
    <rPh sb="7" eb="9">
      <t>ケイサン</t>
    </rPh>
    <phoneticPr fontId="5"/>
  </si>
  <si>
    <t>空気密度</t>
    <rPh sb="0" eb="2">
      <t>クウキ</t>
    </rPh>
    <rPh sb="2" eb="4">
      <t>ミツド</t>
    </rPh>
    <phoneticPr fontId="5"/>
  </si>
  <si>
    <t>[kg/m^3]</t>
    <phoneticPr fontId="5"/>
  </si>
  <si>
    <t>有効振動半径</t>
  </si>
  <si>
    <t>[mm]</t>
    <phoneticPr fontId="5"/>
  </si>
  <si>
    <t>[m]</t>
    <phoneticPr fontId="5"/>
  </si>
  <si>
    <t>空気負荷質量(自由空間)</t>
  </si>
  <si>
    <t>空気負荷質量(無限大バッフル)</t>
  </si>
  <si>
    <t>入力電圧計算</t>
    <rPh sb="0" eb="2">
      <t>ニュウリョク</t>
    </rPh>
    <rPh sb="2" eb="4">
      <t>デンアツ</t>
    </rPh>
    <rPh sb="4" eb="6">
      <t>ケイサン</t>
    </rPh>
    <phoneticPr fontId="5"/>
  </si>
  <si>
    <t>スピーカーの直流抵抗値</t>
  </si>
  <si>
    <t>[Ohm]</t>
    <phoneticPr fontId="5"/>
  </si>
  <si>
    <t>入力</t>
    <rPh sb="0" eb="2">
      <t>ニュウリョク</t>
    </rPh>
    <phoneticPr fontId="5"/>
  </si>
  <si>
    <t>[W]</t>
    <phoneticPr fontId="5"/>
  </si>
  <si>
    <t>電圧値</t>
    <rPh sb="0" eb="3">
      <t>デンアツチ</t>
    </rPh>
    <phoneticPr fontId="5"/>
  </si>
  <si>
    <t>[V]</t>
    <phoneticPr fontId="5"/>
  </si>
  <si>
    <t>Vasの計算</t>
    <rPh sb="4" eb="6">
      <t>ケイサン</t>
    </rPh>
    <phoneticPr fontId="5"/>
  </si>
  <si>
    <t>音速</t>
    <rPh sb="0" eb="2">
      <t>オンソク</t>
    </rPh>
    <phoneticPr fontId="5"/>
  </si>
  <si>
    <t>[m/s]</t>
    <phoneticPr fontId="5"/>
  </si>
  <si>
    <t>Kms</t>
    <phoneticPr fontId="5"/>
  </si>
  <si>
    <t>[N/mm]</t>
    <phoneticPr fontId="5"/>
  </si>
  <si>
    <t>Vas</t>
    <phoneticPr fontId="5"/>
  </si>
  <si>
    <t>[L]</t>
    <phoneticPr fontId="5"/>
  </si>
  <si>
    <t>Qesの計算</t>
    <rPh sb="4" eb="6">
      <t>ケイサン</t>
    </rPh>
    <phoneticPr fontId="5"/>
  </si>
  <si>
    <t>[kg]</t>
    <phoneticPr fontId="5"/>
  </si>
  <si>
    <t>Bl</t>
    <phoneticPr fontId="5"/>
  </si>
  <si>
    <t>[N/A]</t>
    <phoneticPr fontId="5"/>
  </si>
  <si>
    <t>Qes</t>
    <phoneticPr fontId="5"/>
  </si>
  <si>
    <t>Qmsの計算</t>
    <rPh sb="4" eb="6">
      <t>ケイサン</t>
    </rPh>
    <phoneticPr fontId="5"/>
  </si>
  <si>
    <t>Rms</t>
    <phoneticPr fontId="5"/>
  </si>
  <si>
    <t>[kg/s]</t>
    <phoneticPr fontId="5"/>
  </si>
  <si>
    <t>Qms</t>
    <phoneticPr fontId="5"/>
  </si>
  <si>
    <t>Qtsの計算</t>
    <rPh sb="4" eb="6">
      <t>ケイサン</t>
    </rPh>
    <phoneticPr fontId="5"/>
  </si>
  <si>
    <t>Qes</t>
    <phoneticPr fontId="5"/>
  </si>
  <si>
    <t>Qms</t>
    <phoneticPr fontId="5"/>
  </si>
  <si>
    <t>Qts</t>
    <phoneticPr fontId="5"/>
  </si>
  <si>
    <t>振幅の計算</t>
    <rPh sb="0" eb="2">
      <t>シンプク</t>
    </rPh>
    <rPh sb="3" eb="5">
      <t>ケイサン</t>
    </rPh>
    <phoneticPr fontId="5"/>
  </si>
  <si>
    <t>スピーカーの音圧</t>
    <rPh sb="6" eb="8">
      <t>オンアツ</t>
    </rPh>
    <phoneticPr fontId="5"/>
  </si>
  <si>
    <t>[dB]</t>
    <phoneticPr fontId="5"/>
  </si>
  <si>
    <t>周波数</t>
    <rPh sb="0" eb="3">
      <t>シュウハスウ</t>
    </rPh>
    <phoneticPr fontId="5"/>
  </si>
  <si>
    <t>[Hz]</t>
    <phoneticPr fontId="5"/>
  </si>
  <si>
    <t>基準音圧</t>
    <rPh sb="0" eb="2">
      <t>キジュン</t>
    </rPh>
    <rPh sb="2" eb="4">
      <t>オンアツ</t>
    </rPh>
    <phoneticPr fontId="5"/>
  </si>
  <si>
    <t>[Pa]</t>
    <phoneticPr fontId="5"/>
  </si>
  <si>
    <t>振幅</t>
    <rPh sb="0" eb="2">
      <t>シンプク</t>
    </rPh>
    <phoneticPr fontId="5"/>
  </si>
  <si>
    <t>[m]</t>
    <phoneticPr fontId="5"/>
  </si>
  <si>
    <t>[mm]</t>
    <phoneticPr fontId="5"/>
  </si>
  <si>
    <t>音圧の計算</t>
    <rPh sb="0" eb="2">
      <t>オンアツ</t>
    </rPh>
    <rPh sb="3" eb="5">
      <t>ケイサン</t>
    </rPh>
    <phoneticPr fontId="5"/>
  </si>
  <si>
    <t>sec1</t>
    <phoneticPr fontId="5"/>
  </si>
  <si>
    <t>マイク距離</t>
    <rPh sb="3" eb="5">
      <t>キョリ</t>
    </rPh>
    <phoneticPr fontId="5"/>
  </si>
  <si>
    <t>sec2</t>
    <phoneticPr fontId="5"/>
  </si>
  <si>
    <t>入力電圧</t>
    <rPh sb="0" eb="2">
      <t>ニュウリョク</t>
    </rPh>
    <rPh sb="2" eb="4">
      <t>デンアツ</t>
    </rPh>
    <phoneticPr fontId="5"/>
  </si>
  <si>
    <t>[V]</t>
    <phoneticPr fontId="5"/>
  </si>
  <si>
    <t>sec3</t>
    <phoneticPr fontId="5"/>
  </si>
  <si>
    <t>←</t>
    <phoneticPr fontId="5"/>
  </si>
  <si>
    <t>※2×F0くらいまで</t>
    <phoneticPr fontId="5"/>
  </si>
  <si>
    <t>音圧レベル</t>
    <rPh sb="0" eb="2">
      <t>オンアツ</t>
    </rPh>
    <phoneticPr fontId="5"/>
  </si>
  <si>
    <t xml:space="preserve">FREQ </t>
  </si>
  <si>
    <t>x=f/f0</t>
    <phoneticPr fontId="5"/>
  </si>
  <si>
    <t>P音圧</t>
    <rPh sb="1" eb="3">
      <t>オンアツ</t>
    </rPh>
    <phoneticPr fontId="5"/>
  </si>
  <si>
    <t>P dB</t>
    <phoneticPr fontId="5"/>
  </si>
  <si>
    <t>体積抵抗率</t>
    <rPh sb="0" eb="2">
      <t>タイセキ</t>
    </rPh>
    <rPh sb="2" eb="4">
      <t>テイコウ</t>
    </rPh>
    <rPh sb="4" eb="5">
      <t>リツ</t>
    </rPh>
    <phoneticPr fontId="1"/>
  </si>
  <si>
    <t>線幅</t>
    <rPh sb="0" eb="2">
      <t>センハバハバ</t>
    </rPh>
    <phoneticPr fontId="1"/>
  </si>
  <si>
    <t>線厚</t>
    <rPh sb="0" eb="1">
      <t>セン</t>
    </rPh>
    <rPh sb="1" eb="2">
      <t>アツ</t>
    </rPh>
    <phoneticPr fontId="1"/>
  </si>
  <si>
    <t>[mm]</t>
    <phoneticPr fontId="1"/>
  </si>
  <si>
    <t>線長</t>
    <rPh sb="0" eb="1">
      <t>セン</t>
    </rPh>
    <rPh sb="1" eb="2">
      <t>チョウ</t>
    </rPh>
    <phoneticPr fontId="1"/>
  </si>
  <si>
    <t>→</t>
    <phoneticPr fontId="1"/>
  </si>
  <si>
    <t>[m]</t>
    <phoneticPr fontId="1"/>
  </si>
  <si>
    <t>抵抗値</t>
    <rPh sb="0" eb="3">
      <t>テイコウチ</t>
    </rPh>
    <phoneticPr fontId="1"/>
  </si>
  <si>
    <t>[Ohm]</t>
    <phoneticPr fontId="1"/>
  </si>
  <si>
    <t>薄膜パターンの抵抗値計算</t>
    <rPh sb="0" eb="2">
      <t>ハクマク</t>
    </rPh>
    <rPh sb="7" eb="10">
      <t>テイコウチ</t>
    </rPh>
    <rPh sb="10" eb="12">
      <t>ケイサン</t>
    </rPh>
    <phoneticPr fontId="1"/>
  </si>
  <si>
    <t>Qts</t>
    <phoneticPr fontId="1"/>
  </si>
  <si>
    <t>※円板近似</t>
    <rPh sb="1" eb="3">
      <t>エンバン</t>
    </rPh>
    <rPh sb="3" eb="5">
      <t>キンジ</t>
    </rPh>
    <phoneticPr fontId="1"/>
  </si>
  <si>
    <t>※理想状態近似　低音域のみ</t>
    <rPh sb="1" eb="3">
      <t>リソウ</t>
    </rPh>
    <rPh sb="3" eb="5">
      <t>ジョウタイ</t>
    </rPh>
    <rPh sb="5" eb="7">
      <t>キンジ</t>
    </rPh>
    <rPh sb="8" eb="11">
      <t>テイオンイキ</t>
    </rPh>
    <phoneticPr fontId="1"/>
  </si>
  <si>
    <t>ドイツのXmax計算</t>
    <rPh sb="8" eb="10">
      <t>ケイサン</t>
    </rPh>
    <phoneticPr fontId="1"/>
  </si>
  <si>
    <t>VC巻き幅</t>
    <rPh sb="2" eb="3">
      <t>マ</t>
    </rPh>
    <rPh sb="4" eb="5">
      <t>ハバ</t>
    </rPh>
    <phoneticPr fontId="1"/>
  </si>
  <si>
    <t>plate厚さ</t>
    <rPh sb="5" eb="6">
      <t>アツ</t>
    </rPh>
    <phoneticPr fontId="1"/>
  </si>
  <si>
    <t>Xmax</t>
    <phoneticPr fontId="1"/>
  </si>
  <si>
    <t>開管の気中共鳴周波数</t>
    <rPh sb="0" eb="1">
      <t>カイ</t>
    </rPh>
    <rPh sb="1" eb="2">
      <t>カン</t>
    </rPh>
    <rPh sb="3" eb="5">
      <t>キチュウ</t>
    </rPh>
    <rPh sb="5" eb="7">
      <t>キョウメイ</t>
    </rPh>
    <rPh sb="7" eb="10">
      <t>シュウハスウ</t>
    </rPh>
    <phoneticPr fontId="1"/>
  </si>
  <si>
    <t>管の長さ</t>
    <rPh sb="0" eb="1">
      <t>カン</t>
    </rPh>
    <rPh sb="2" eb="3">
      <t>ナガ</t>
    </rPh>
    <phoneticPr fontId="1"/>
  </si>
  <si>
    <t>共鳴周波数</t>
    <rPh sb="0" eb="2">
      <t>キョウメイ</t>
    </rPh>
    <rPh sb="2" eb="5">
      <t>シュウハスウ</t>
    </rPh>
    <phoneticPr fontId="1"/>
  </si>
  <si>
    <t>基本波</t>
    <rPh sb="0" eb="2">
      <t>キホン</t>
    </rPh>
    <rPh sb="2" eb="3">
      <t>ハ</t>
    </rPh>
    <phoneticPr fontId="1"/>
  </si>
  <si>
    <t>2倍波</t>
    <rPh sb="1" eb="2">
      <t>バイ</t>
    </rPh>
    <rPh sb="2" eb="3">
      <t>ハ</t>
    </rPh>
    <phoneticPr fontId="1"/>
  </si>
  <si>
    <t>3倍波</t>
    <rPh sb="1" eb="2">
      <t>バイ</t>
    </rPh>
    <rPh sb="2" eb="3">
      <t>ハ</t>
    </rPh>
    <phoneticPr fontId="1"/>
  </si>
  <si>
    <t>[Hz]</t>
    <phoneticPr fontId="1"/>
  </si>
  <si>
    <t>薄膜パターンの抵抗値から体積低効率の計算</t>
    <rPh sb="0" eb="2">
      <t>ハクマク</t>
    </rPh>
    <rPh sb="7" eb="10">
      <t>テイコウチ</t>
    </rPh>
    <rPh sb="12" eb="17">
      <t>タイセキテイコウリツ</t>
    </rPh>
    <rPh sb="18" eb="20">
      <t>ケイサン</t>
    </rPh>
    <phoneticPr fontId="1"/>
  </si>
  <si>
    <t>薄膜パターンの線厚計算</t>
    <rPh sb="0" eb="2">
      <t>ハクマク</t>
    </rPh>
    <rPh sb="7" eb="8">
      <t>セン</t>
    </rPh>
    <rPh sb="8" eb="9">
      <t>アツ</t>
    </rPh>
    <rPh sb="9" eb="11">
      <t>ケイサン</t>
    </rPh>
    <phoneticPr fontId="1"/>
  </si>
  <si>
    <t>←</t>
    <phoneticPr fontId="1"/>
  </si>
  <si>
    <t>×10^(-8) [Ohm*m]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</si>
</sst>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.000"/>
    <numFmt numFmtId="181" formatCode="0.000000"/>
    <numFmt numFmtId="182" formatCode="0.00000"/>
  </numFmts>
  <fonts count="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돋움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70C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0070C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theme="8"/>
      </bottom>
      <diagonal/>
    </border>
    <border>
      <left/>
      <right style="thick">
        <color theme="8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53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right" vertical="center"/>
    </xf>
    <xf numFmtId="0" fontId="3" fillId="0" borderId="0" xfId="0" applyFont="1"/>
    <xf numFmtId="0" fontId="3" fillId="0" borderId="0" xfId="0" applyFont="1" applyBorder="1"/>
    <xf numFmtId="0" fontId="4" fillId="0" borderId="3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2" borderId="0" xfId="1" applyFill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2" fontId="4" fillId="2" borderId="18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2" borderId="19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180" fontId="4" fillId="2" borderId="18" xfId="0" applyNumberFormat="1" applyFont="1" applyFill="1" applyBorder="1" applyAlignment="1">
      <alignment horizontal="center" vertical="center"/>
    </xf>
    <xf numFmtId="181" fontId="4" fillId="2" borderId="4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182" fontId="4" fillId="2" borderId="4" xfId="0" applyNumberFormat="1" applyFont="1" applyFill="1" applyBorder="1" applyAlignment="1">
      <alignment horizontal="center" vertical="center"/>
    </xf>
    <xf numFmtId="2" fontId="4" fillId="2" borderId="2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2">
    <cellStyle name="標準" xfId="0" builtinId="0"/>
    <cellStyle name="標準_B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S.P.L</c:v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低音域音圧計算!$B$18:$B$305</c:f>
              <c:numCache>
                <c:formatCode>General</c:formatCode>
                <c:ptCount val="288"/>
                <c:pt idx="0">
                  <c:v>16</c:v>
                </c:pt>
                <c:pt idx="1">
                  <c:v>20</c:v>
                </c:pt>
                <c:pt idx="2">
                  <c:v>25</c:v>
                </c:pt>
                <c:pt idx="3">
                  <c:v>31.5</c:v>
                </c:pt>
                <c:pt idx="4">
                  <c:v>40</c:v>
                </c:pt>
                <c:pt idx="5">
                  <c:v>50</c:v>
                </c:pt>
                <c:pt idx="6">
                  <c:v>63</c:v>
                </c:pt>
                <c:pt idx="7">
                  <c:v>80</c:v>
                </c:pt>
                <c:pt idx="8">
                  <c:v>100</c:v>
                </c:pt>
                <c:pt idx="9">
                  <c:v>125</c:v>
                </c:pt>
                <c:pt idx="10">
                  <c:v>160</c:v>
                </c:pt>
                <c:pt idx="11">
                  <c:v>200</c:v>
                </c:pt>
                <c:pt idx="12">
                  <c:v>250</c:v>
                </c:pt>
                <c:pt idx="13">
                  <c:v>315</c:v>
                </c:pt>
                <c:pt idx="14">
                  <c:v>400</c:v>
                </c:pt>
                <c:pt idx="15">
                  <c:v>500</c:v>
                </c:pt>
                <c:pt idx="16">
                  <c:v>630</c:v>
                </c:pt>
                <c:pt idx="17">
                  <c:v>800</c:v>
                </c:pt>
                <c:pt idx="18">
                  <c:v>1000</c:v>
                </c:pt>
                <c:pt idx="19">
                  <c:v>1250</c:v>
                </c:pt>
                <c:pt idx="20">
                  <c:v>1600</c:v>
                </c:pt>
                <c:pt idx="21">
                  <c:v>2000</c:v>
                </c:pt>
                <c:pt idx="22">
                  <c:v>2500</c:v>
                </c:pt>
                <c:pt idx="23">
                  <c:v>3150</c:v>
                </c:pt>
                <c:pt idx="24">
                  <c:v>4000</c:v>
                </c:pt>
                <c:pt idx="25">
                  <c:v>5000</c:v>
                </c:pt>
                <c:pt idx="26">
                  <c:v>6300</c:v>
                </c:pt>
                <c:pt idx="27">
                  <c:v>8000</c:v>
                </c:pt>
                <c:pt idx="28">
                  <c:v>10000</c:v>
                </c:pt>
              </c:numCache>
            </c:numRef>
          </c:xVal>
          <c:yVal>
            <c:numRef>
              <c:f>低音域音圧計算!$E$18:$E$305</c:f>
              <c:numCache>
                <c:formatCode>General</c:formatCode>
                <c:ptCount val="288"/>
                <c:pt idx="0">
                  <c:v>43.825853424169807</c:v>
                </c:pt>
                <c:pt idx="1">
                  <c:v>47.719894091108202</c:v>
                </c:pt>
                <c:pt idx="2">
                  <c:v>51.623772214609858</c:v>
                </c:pt>
                <c:pt idx="3">
                  <c:v>55.683213297572216</c:v>
                </c:pt>
                <c:pt idx="4">
                  <c:v>59.906369560135232</c:v>
                </c:pt>
                <c:pt idx="5">
                  <c:v>63.889505656565426</c:v>
                </c:pt>
                <c:pt idx="6">
                  <c:v>68.073843573833656</c:v>
                </c:pt>
                <c:pt idx="7">
                  <c:v>72.489157571361773</c:v>
                </c:pt>
                <c:pt idx="8">
                  <c:v>76.714579599101157</c:v>
                </c:pt>
                <c:pt idx="9">
                  <c:v>80.996360747464294</c:v>
                </c:pt>
                <c:pt idx="10">
                  <c:v>85.445903091668058</c:v>
                </c:pt>
                <c:pt idx="11">
                  <c:v>88.29691690981079</c:v>
                </c:pt>
                <c:pt idx="12">
                  <c:v>89.322303611990307</c:v>
                </c:pt>
                <c:pt idx="13">
                  <c:v>89.18729012467071</c:v>
                </c:pt>
                <c:pt idx="14">
                  <c:v>88.755779425660393</c:v>
                </c:pt>
                <c:pt idx="15">
                  <c:v>88.406757918243272</c:v>
                </c:pt>
                <c:pt idx="16">
                  <c:v>88.148463304089958</c:v>
                </c:pt>
                <c:pt idx="17">
                  <c:v>87.971905309683919</c:v>
                </c:pt>
                <c:pt idx="18">
                  <c:v>87.865169733575982</c:v>
                </c:pt>
                <c:pt idx="19">
                  <c:v>87.795834684747859</c:v>
                </c:pt>
                <c:pt idx="20">
                  <c:v>87.747371694287594</c:v>
                </c:pt>
                <c:pt idx="21">
                  <c:v>87.719894091108188</c:v>
                </c:pt>
                <c:pt idx="22">
                  <c:v>87.702253944492071</c:v>
                </c:pt>
                <c:pt idx="23">
                  <c:v>87.690624211062499</c:v>
                </c:pt>
                <c:pt idx="24">
                  <c:v>87.683096902911529</c:v>
                </c:pt>
                <c:pt idx="25">
                  <c:v>87.678669226239549</c:v>
                </c:pt>
                <c:pt idx="26">
                  <c:v>87.675754485071536</c:v>
                </c:pt>
                <c:pt idx="27">
                  <c:v>87.673869719946765</c:v>
                </c:pt>
                <c:pt idx="28">
                  <c:v>87.672761721278818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92-4E39-AEB4-58FD8C48B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06784"/>
        <c:axId val="419492656"/>
      </c:scatterChart>
      <c:valAx>
        <c:axId val="419506784"/>
        <c:scaling>
          <c:logBase val="10"/>
          <c:orientation val="minMax"/>
          <c:max val="1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492656"/>
        <c:crosses val="autoZero"/>
        <c:crossBetween val="midCat"/>
      </c:valAx>
      <c:valAx>
        <c:axId val="419492656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950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92209</xdr:colOff>
      <xdr:row>17</xdr:row>
      <xdr:rowOff>24203</xdr:rowOff>
    </xdr:from>
    <xdr:to>
      <xdr:col>16</xdr:col>
      <xdr:colOff>423902</xdr:colOff>
      <xdr:row>37</xdr:row>
      <xdr:rowOff>179293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10883</xdr:colOff>
      <xdr:row>12</xdr:row>
      <xdr:rowOff>21775</xdr:rowOff>
    </xdr:from>
    <xdr:to>
      <xdr:col>6</xdr:col>
      <xdr:colOff>800639</xdr:colOff>
      <xdr:row>31</xdr:row>
      <xdr:rowOff>54431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80" t="3222" r="18832" b="3463"/>
        <a:stretch/>
      </xdr:blipFill>
      <xdr:spPr>
        <a:xfrm rot="5400000">
          <a:off x="988147" y="2266682"/>
          <a:ext cx="4169228" cy="49045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TMY/Desktop/work/Fostex/FEseries_change_20180601/Spider-Sim/simulation_spider_&#12414;&#12392;&#12417;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TMY/Desktop/work/Fostex/FEseries_change_20180601/FE-series_magnet_circuit/FE-NVSeries_magnet_circu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ォーマット"/>
      <sheetName val="FE83En_Old_spider"/>
      <sheetName val="FE83En_New_spider"/>
      <sheetName val="FE103En_Old_spider"/>
      <sheetName val="FE103En_New_spider"/>
      <sheetName val="FE126En_Old_spider"/>
      <sheetName val="FE126En_New_spider"/>
      <sheetName val="FE126En_New_kaizen_rev1"/>
      <sheetName val="FE126En_New_kaizen_rev2"/>
      <sheetName val="FE126En_New_kaizen_rev3"/>
      <sheetName val="FE166En_Old_spider"/>
      <sheetName val="FE166En_New_spider"/>
      <sheetName val="FE166En_New_kaizen_rev1"/>
      <sheetName val="FE166En_New_kaizen_rev2"/>
      <sheetName val="FE166En_New_kaizen_rev3"/>
      <sheetName val="FE166En_New_kaizen_rev4"/>
      <sheetName val="FE206En_Old_spider"/>
      <sheetName val="FE206En_New_spider"/>
      <sheetName val="FE206En_New_kaizen_rev1"/>
      <sheetName val="FE206En_New_kaizen_rev２"/>
      <sheetName val="FE206En_New_kaizen_rev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C7" t="str">
            <v>Up変位(mm)</v>
          </cell>
          <cell r="E7" t="str">
            <v>Down変位(mm)</v>
          </cell>
          <cell r="G7" t="str">
            <v>Up Kms(N/mm)</v>
          </cell>
          <cell r="H7" t="str">
            <v>Down Kms(N/mm)</v>
          </cell>
          <cell r="I7" t="str">
            <v>Up Kms-Down Kms</v>
          </cell>
          <cell r="J7" t="str">
            <v>Down Kms-Up Kms</v>
          </cell>
          <cell r="K7" t="str">
            <v>Up-133%</v>
          </cell>
          <cell r="L7" t="str">
            <v>Down-133%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99.99991</v>
          </cell>
          <cell r="C9">
            <v>0.52325310000000003</v>
          </cell>
          <cell r="D9">
            <v>-99.99991</v>
          </cell>
          <cell r="E9">
            <v>-0.52706350000000002</v>
          </cell>
          <cell r="G9">
            <v>0.19111193034498983</v>
          </cell>
          <cell r="H9">
            <v>0.18973028866540748</v>
          </cell>
          <cell r="I9">
            <v>1.3816416795823516E-3</v>
          </cell>
          <cell r="J9">
            <v>-1.3816416795823516E-3</v>
          </cell>
          <cell r="K9">
            <v>6.3066937013846663E-2</v>
          </cell>
          <cell r="L9">
            <v>6.2610995259584468E-2</v>
          </cell>
        </row>
        <row r="10">
          <cell r="B10">
            <v>199.99979999999999</v>
          </cell>
          <cell r="C10">
            <v>1.0363739999999999</v>
          </cell>
          <cell r="D10">
            <v>-199.99979999999999</v>
          </cell>
          <cell r="E10">
            <v>-1.0509919999999999</v>
          </cell>
          <cell r="G10">
            <v>0.19298033335456122</v>
          </cell>
          <cell r="H10">
            <v>0.19029621538508382</v>
          </cell>
          <cell r="I10">
            <v>2.6841179694774009E-3</v>
          </cell>
          <cell r="J10">
            <v>-2.6841179694774009E-3</v>
          </cell>
          <cell r="K10">
            <v>6.1198534004275273E-2</v>
          </cell>
          <cell r="L10">
            <v>6.2045068539908127E-2</v>
          </cell>
        </row>
        <row r="11">
          <cell r="B11">
            <v>299.99970000000002</v>
          </cell>
          <cell r="C11">
            <v>1.5343450000000001</v>
          </cell>
          <cell r="D11">
            <v>-299.99970000000002</v>
          </cell>
          <cell r="E11">
            <v>-1.5651060000000001</v>
          </cell>
          <cell r="G11">
            <v>0.19552297560196696</v>
          </cell>
          <cell r="H11">
            <v>0.19168011623493872</v>
          </cell>
          <cell r="I11">
            <v>3.8428593670282452E-3</v>
          </cell>
          <cell r="J11">
            <v>-3.8428593670282452E-3</v>
          </cell>
          <cell r="K11">
            <v>5.8655891756869527E-2</v>
          </cell>
          <cell r="L11">
            <v>6.0661167690053225E-2</v>
          </cell>
        </row>
        <row r="12">
          <cell r="B12">
            <v>400.00020000000001</v>
          </cell>
          <cell r="C12">
            <v>2.0137670000000001</v>
          </cell>
          <cell r="D12">
            <v>-400.00020000000001</v>
          </cell>
          <cell r="E12">
            <v>-2.0638519999999998</v>
          </cell>
          <cell r="G12">
            <v>0.19863281104517058</v>
          </cell>
          <cell r="H12">
            <v>0.19381244391555211</v>
          </cell>
          <cell r="I12">
            <v>4.8203671296184747E-3</v>
          </cell>
          <cell r="J12">
            <v>-4.8203671296184747E-3</v>
          </cell>
          <cell r="K12">
            <v>5.5546056313665909E-2</v>
          </cell>
          <cell r="L12">
            <v>5.8528840009439836E-2</v>
          </cell>
        </row>
        <row r="13">
          <cell r="B13">
            <v>500.00009999999997</v>
          </cell>
          <cell r="C13">
            <v>2.4727830000000002</v>
          </cell>
          <cell r="D13">
            <v>-500.00009999999997</v>
          </cell>
          <cell r="E13">
            <v>-2.5432519999999998</v>
          </cell>
          <cell r="G13">
            <v>0.2022013658295127</v>
          </cell>
          <cell r="H13">
            <v>0.1965987247822866</v>
          </cell>
          <cell r="I13">
            <v>5.6026410472261035E-3</v>
          </cell>
          <cell r="J13">
            <v>-5.6026410472261035E-3</v>
          </cell>
          <cell r="K13">
            <v>5.1977501529323789E-2</v>
          </cell>
          <cell r="L13">
            <v>5.5742559142705345E-2</v>
          </cell>
        </row>
        <row r="14">
          <cell r="B14">
            <v>600</v>
          </cell>
          <cell r="C14">
            <v>2.9108200000000002</v>
          </cell>
          <cell r="D14">
            <v>-600</v>
          </cell>
          <cell r="E14">
            <v>-3.0010279999999998</v>
          </cell>
          <cell r="G14">
            <v>0.20612748297730535</v>
          </cell>
          <cell r="H14">
            <v>0.19993149014271111</v>
          </cell>
          <cell r="I14">
            <v>6.1959928345942383E-3</v>
          </cell>
          <cell r="J14">
            <v>-6.1959928345942383E-3</v>
          </cell>
          <cell r="K14">
            <v>4.8051384381531143E-2</v>
          </cell>
          <cell r="L14">
            <v>5.2409793782280834E-2</v>
          </cell>
        </row>
        <row r="15">
          <cell r="B15">
            <v>699.99990000000003</v>
          </cell>
          <cell r="C15">
            <v>3.3281130000000001</v>
          </cell>
          <cell r="D15">
            <v>-699.99990000000003</v>
          </cell>
          <cell r="E15">
            <v>-3.4362509999999999</v>
          </cell>
          <cell r="G15">
            <v>0.21032936682137895</v>
          </cell>
          <cell r="H15">
            <v>0.20371035177581615</v>
          </cell>
          <cell r="I15">
            <v>6.6190150455628094E-3</v>
          </cell>
          <cell r="J15">
            <v>-6.6190150455628094E-3</v>
          </cell>
          <cell r="K15">
            <v>4.3849500537457536E-2</v>
          </cell>
          <cell r="L15">
            <v>4.8630932149175798E-2</v>
          </cell>
        </row>
        <row r="16">
          <cell r="B16">
            <v>799.99980000000005</v>
          </cell>
          <cell r="C16">
            <v>3.7256580000000001</v>
          </cell>
          <cell r="D16">
            <v>-799.99980000000005</v>
          </cell>
          <cell r="E16">
            <v>-3.8490730000000002</v>
          </cell>
          <cell r="G16">
            <v>0.21472711665966118</v>
          </cell>
          <cell r="H16">
            <v>0.20784219992709932</v>
          </cell>
          <cell r="I16">
            <v>6.8849167325618632E-3</v>
          </cell>
          <cell r="J16">
            <v>-6.8849167325618632E-3</v>
          </cell>
          <cell r="K16">
            <v>3.9451750699175309E-2</v>
          </cell>
          <cell r="L16">
            <v>4.4499083997892624E-2</v>
          </cell>
        </row>
        <row r="17">
          <cell r="B17">
            <v>900.00030000000004</v>
          </cell>
          <cell r="C17">
            <v>4.104654</v>
          </cell>
          <cell r="D17">
            <v>-900.00030000000004</v>
          </cell>
          <cell r="E17">
            <v>-4.2402709999999999</v>
          </cell>
          <cell r="G17">
            <v>0.21926337761964834</v>
          </cell>
          <cell r="H17">
            <v>0.21225065567743195</v>
          </cell>
          <cell r="I17">
            <v>7.0127219422163878E-3</v>
          </cell>
          <cell r="J17">
            <v>-7.0127219422163878E-3</v>
          </cell>
          <cell r="K17">
            <v>3.4915489739188149E-2</v>
          </cell>
          <cell r="L17">
            <v>4.009062824755999E-2</v>
          </cell>
        </row>
        <row r="18">
          <cell r="B18">
            <v>1000</v>
          </cell>
          <cell r="C18">
            <v>4.4665369999999998</v>
          </cell>
          <cell r="D18">
            <v>-1000</v>
          </cell>
          <cell r="E18">
            <v>-4.6110090000000001</v>
          </cell>
          <cell r="G18">
            <v>0.22388709642391857</v>
          </cell>
          <cell r="H18">
            <v>0.21687227242453874</v>
          </cell>
          <cell r="I18">
            <v>7.0148239993798323E-3</v>
          </cell>
          <cell r="J18">
            <v>-7.0148239993798323E-3</v>
          </cell>
          <cell r="K18">
            <v>3.0291770934917917E-2</v>
          </cell>
          <cell r="L18">
            <v>3.5469011500453201E-2</v>
          </cell>
        </row>
        <row r="19">
          <cell r="B19">
            <v>1100</v>
          </cell>
          <cell r="C19">
            <v>4.812792</v>
          </cell>
          <cell r="D19">
            <v>-1100</v>
          </cell>
          <cell r="E19">
            <v>-4.9625539999999999</v>
          </cell>
          <cell r="G19">
            <v>0.22855756076722203</v>
          </cell>
          <cell r="H19">
            <v>0.22166005649510315</v>
          </cell>
          <cell r="I19">
            <v>6.8975042721188817E-3</v>
          </cell>
          <cell r="J19">
            <v>-6.8975042721188817E-3</v>
          </cell>
          <cell r="K19">
            <v>2.5621306591614462E-2</v>
          </cell>
          <cell r="L19">
            <v>3.0681227429888797E-2</v>
          </cell>
        </row>
        <row r="20">
          <cell r="B20">
            <v>1200</v>
          </cell>
          <cell r="C20">
            <v>5.1449040000000004</v>
          </cell>
          <cell r="D20">
            <v>-1200</v>
          </cell>
          <cell r="E20">
            <v>-5.2962410000000002</v>
          </cell>
          <cell r="G20">
            <v>0.23324050361289539</v>
          </cell>
          <cell r="H20">
            <v>0.22657579215145229</v>
          </cell>
          <cell r="I20">
            <v>6.6647114614430958E-3</v>
          </cell>
          <cell r="J20">
            <v>-6.6647114614430958E-3</v>
          </cell>
          <cell r="K20">
            <v>2.0938363745941102E-2</v>
          </cell>
          <cell r="L20">
            <v>2.576549177353965E-2</v>
          </cell>
        </row>
        <row r="21">
          <cell r="B21">
            <v>1300</v>
          </cell>
          <cell r="C21">
            <v>5.4643280000000001</v>
          </cell>
          <cell r="D21">
            <v>-1300</v>
          </cell>
          <cell r="E21">
            <v>-5.613302</v>
          </cell>
          <cell r="G21">
            <v>0.23790665567659922</v>
          </cell>
          <cell r="H21">
            <v>0.23159274166969818</v>
          </cell>
          <cell r="I21">
            <v>6.3139140069010391E-3</v>
          </cell>
          <cell r="J21">
            <v>-6.3139140069010391E-3</v>
          </cell>
          <cell r="K21">
            <v>1.6272211682237275E-2</v>
          </cell>
          <cell r="L21">
            <v>2.0748542255293767E-2</v>
          </cell>
        </row>
        <row r="22">
          <cell r="B22">
            <v>1400</v>
          </cell>
          <cell r="C22">
            <v>5.7724630000000001</v>
          </cell>
          <cell r="D22">
            <v>-1400</v>
          </cell>
          <cell r="E22">
            <v>-5.914892</v>
          </cell>
          <cell r="G22">
            <v>0.2425307879842625</v>
          </cell>
          <cell r="H22">
            <v>0.23669071218882778</v>
          </cell>
          <cell r="I22">
            <v>5.8400757954347182E-3</v>
          </cell>
          <cell r="J22">
            <v>-5.8400757954347182E-3</v>
          </cell>
          <cell r="K22">
            <v>1.1648079374573989E-2</v>
          </cell>
          <cell r="L22">
            <v>1.5650571736164159E-2</v>
          </cell>
        </row>
        <row r="23">
          <cell r="B23">
            <v>1500</v>
          </cell>
          <cell r="C23">
            <v>6.0706420000000003</v>
          </cell>
          <cell r="D23">
            <v>-1500</v>
          </cell>
          <cell r="E23">
            <v>-6.2020549999999997</v>
          </cell>
          <cell r="G23">
            <v>0.2470908348738074</v>
          </cell>
          <cell r="H23">
            <v>0.24185532053488723</v>
          </cell>
          <cell r="I23">
            <v>5.2355143389201664E-3</v>
          </cell>
          <cell r="J23">
            <v>-5.2355143389201664E-3</v>
          </cell>
          <cell r="K23">
            <v>7.0880324850290943E-3</v>
          </cell>
          <cell r="L23">
            <v>1.0485963390104713E-2</v>
          </cell>
        </row>
        <row r="24">
          <cell r="B24">
            <v>1600</v>
          </cell>
          <cell r="C24">
            <v>6.3601020000000004</v>
          </cell>
          <cell r="D24">
            <v>-1600</v>
          </cell>
          <cell r="E24">
            <v>-6.475733</v>
          </cell>
          <cell r="G24">
            <v>0.25156829245820272</v>
          </cell>
          <cell r="H24">
            <v>0.24707627692494427</v>
          </cell>
          <cell r="I24">
            <v>4.4920155332584533E-3</v>
          </cell>
          <cell r="J24">
            <v>-4.4920155332584533E-3</v>
          </cell>
          <cell r="K24">
            <v>2.6105749006337664E-3</v>
          </cell>
          <cell r="L24">
            <v>5.2650070000476723E-3</v>
          </cell>
        </row>
        <row r="25">
          <cell r="B25">
            <v>1700</v>
          </cell>
          <cell r="C25">
            <v>6.6419680000000003</v>
          </cell>
          <cell r="D25">
            <v>-1700</v>
          </cell>
          <cell r="E25">
            <v>-6.7367780000000002</v>
          </cell>
          <cell r="G25">
            <v>0.2559482370285433</v>
          </cell>
          <cell r="H25">
            <v>0.25234615123134529</v>
          </cell>
          <cell r="I25">
            <v>3.6020857971980069E-3</v>
          </cell>
          <cell r="J25">
            <v>-3.6020857971980069E-3</v>
          </cell>
          <cell r="K25">
            <v>1.7693696697068106E-3</v>
          </cell>
          <cell r="L25">
            <v>4.8673063533510863E-6</v>
          </cell>
        </row>
        <row r="26">
          <cell r="B26">
            <v>1800</v>
          </cell>
          <cell r="C26">
            <v>6.9171860000000001</v>
          </cell>
          <cell r="D26">
            <v>-1800</v>
          </cell>
          <cell r="E26">
            <v>-6.9859679999999997</v>
          </cell>
          <cell r="G26">
            <v>0.26022142530213876</v>
          </cell>
          <cell r="H26">
            <v>0.25765935372163173</v>
          </cell>
          <cell r="I26">
            <v>2.5620715805070304E-3</v>
          </cell>
          <cell r="J26">
            <v>-2.5620715805070304E-3</v>
          </cell>
          <cell r="K26">
            <v>6.0425579433022736E-3</v>
          </cell>
          <cell r="L26">
            <v>5.3180697966397905E-3</v>
          </cell>
        </row>
        <row r="27">
          <cell r="B27">
            <v>1900</v>
          </cell>
          <cell r="C27">
            <v>7.1864540000000003</v>
          </cell>
          <cell r="D27">
            <v>-1900</v>
          </cell>
          <cell r="E27">
            <v>-7.2240180000000001</v>
          </cell>
          <cell r="G27">
            <v>0.26438630234048666</v>
          </cell>
          <cell r="H27">
            <v>0.26301152627249819</v>
          </cell>
          <cell r="I27">
            <v>1.3747760679884702E-3</v>
          </cell>
          <cell r="J27">
            <v>-1.3747760679884702E-3</v>
          </cell>
          <cell r="K27">
            <v>1.0207434981650165E-2</v>
          </cell>
          <cell r="L27">
            <v>1.0670242347506242E-2</v>
          </cell>
        </row>
        <row r="28">
          <cell r="B28">
            <v>2000</v>
          </cell>
          <cell r="C28">
            <v>7.450132</v>
          </cell>
          <cell r="D28">
            <v>-2000</v>
          </cell>
          <cell r="E28">
            <v>-7.4515919999999998</v>
          </cell>
          <cell r="G28">
            <v>0.26845161938070361</v>
          </cell>
          <cell r="H28">
            <v>0.26839902130980869</v>
          </cell>
          <cell r="I28">
            <v>5.259807089491586E-5</v>
          </cell>
          <cell r="J28">
            <v>-5.259807089491586E-5</v>
          </cell>
          <cell r="K28">
            <v>1.4272752021867119E-2</v>
          </cell>
          <cell r="L28">
            <v>1.605773738481675E-2</v>
          </cell>
        </row>
        <row r="29">
          <cell r="B29">
            <v>2100</v>
          </cell>
          <cell r="C29">
            <v>7.7080349999999997</v>
          </cell>
          <cell r="D29">
            <v>-2100</v>
          </cell>
          <cell r="E29">
            <v>-7.669308</v>
          </cell>
          <cell r="G29">
            <v>0.2724429767119636</v>
          </cell>
          <cell r="H29">
            <v>0.27381870698112531</v>
          </cell>
          <cell r="I29">
            <v>-1.3757302691617124E-3</v>
          </cell>
          <cell r="J29">
            <v>1.3757302691617124E-3</v>
          </cell>
          <cell r="K29">
            <v>1.8264109353127111E-2</v>
          </cell>
          <cell r="L29">
            <v>2.1477423056133371E-2</v>
          </cell>
        </row>
        <row r="30">
          <cell r="B30">
            <v>2200</v>
          </cell>
          <cell r="C30">
            <v>7.9594259999999997</v>
          </cell>
          <cell r="D30">
            <v>-2200</v>
          </cell>
          <cell r="E30">
            <v>-7.8777530000000002</v>
          </cell>
          <cell r="G30">
            <v>0.27640184103728088</v>
          </cell>
          <cell r="H30">
            <v>0.27926745101045947</v>
          </cell>
          <cell r="I30">
            <v>-2.8656099731785845E-3</v>
          </cell>
          <cell r="J30">
            <v>2.8656099731785845E-3</v>
          </cell>
          <cell r="K30">
            <v>2.2222973678444391E-2</v>
          </cell>
          <cell r="L30">
            <v>2.6926167085467523E-2</v>
          </cell>
        </row>
        <row r="31">
          <cell r="B31">
            <v>2300</v>
          </cell>
          <cell r="C31">
            <v>8.2030119999999993</v>
          </cell>
          <cell r="D31">
            <v>-2300</v>
          </cell>
          <cell r="E31">
            <v>-8.0774500000000007</v>
          </cell>
          <cell r="G31">
            <v>0.28038481474853383</v>
          </cell>
          <cell r="H31">
            <v>0.28474332864951185</v>
          </cell>
          <cell r="I31">
            <v>-4.3585139009780227E-3</v>
          </cell>
          <cell r="J31">
            <v>4.3585139009780227E-3</v>
          </cell>
          <cell r="K31">
            <v>2.6205947389697337E-2</v>
          </cell>
          <cell r="L31">
            <v>3.2402044724519907E-2</v>
          </cell>
        </row>
        <row r="32">
          <cell r="B32">
            <v>2400</v>
          </cell>
          <cell r="C32">
            <v>8.4373629999999995</v>
          </cell>
          <cell r="D32">
            <v>-2400</v>
          </cell>
          <cell r="E32">
            <v>-8.2689500000000002</v>
          </cell>
          <cell r="G32">
            <v>0.28444906305441642</v>
          </cell>
          <cell r="H32">
            <v>0.29024241288192576</v>
          </cell>
          <cell r="I32">
            <v>-5.793349827509342E-3</v>
          </cell>
          <cell r="J32">
            <v>5.793349827509342E-3</v>
          </cell>
          <cell r="K32">
            <v>3.0270195695579927E-2</v>
          </cell>
          <cell r="L32">
            <v>3.7901128956933816E-2</v>
          </cell>
        </row>
        <row r="33">
          <cell r="B33">
            <v>2500</v>
          </cell>
          <cell r="C33">
            <v>8.6609269999999992</v>
          </cell>
          <cell r="D33">
            <v>-2500</v>
          </cell>
          <cell r="E33">
            <v>-8.4527239999999999</v>
          </cell>
          <cell r="G33">
            <v>0.28865270426595219</v>
          </cell>
          <cell r="H33">
            <v>0.29576264408964498</v>
          </cell>
          <cell r="I33">
            <v>-7.1099398236927902E-3</v>
          </cell>
          <cell r="J33">
            <v>7.1099398236927902E-3</v>
          </cell>
          <cell r="K33">
            <v>3.4473836907115696E-2</v>
          </cell>
          <cell r="L33">
            <v>4.3421360164653033E-2</v>
          </cell>
        </row>
        <row r="34">
          <cell r="B34">
            <v>2600</v>
          </cell>
          <cell r="C34">
            <v>8.8729069999999997</v>
          </cell>
          <cell r="D34">
            <v>-2600</v>
          </cell>
          <cell r="E34">
            <v>-8.6292480000000005</v>
          </cell>
          <cell r="G34">
            <v>0.29302685129011274</v>
          </cell>
          <cell r="H34">
            <v>0.30130087812982081</v>
          </cell>
          <cell r="I34">
            <v>-8.2740268397080707E-3</v>
          </cell>
          <cell r="J34">
            <v>8.2740268397080707E-3</v>
          </cell>
          <cell r="K34">
            <v>3.8847983931276253E-2</v>
          </cell>
          <cell r="L34">
            <v>4.8959594204828871E-2</v>
          </cell>
        </row>
        <row r="35">
          <cell r="B35">
            <v>2700</v>
          </cell>
          <cell r="C35">
            <v>9.0729839999999999</v>
          </cell>
          <cell r="D35">
            <v>-2700</v>
          </cell>
          <cell r="E35">
            <v>-8.798902</v>
          </cell>
          <cell r="G35">
            <v>0.297586769689002</v>
          </cell>
          <cell r="H35">
            <v>0.30685646913671732</v>
          </cell>
          <cell r="I35">
            <v>-9.2696994477153294E-3</v>
          </cell>
          <cell r="J35">
            <v>9.2696994477153294E-3</v>
          </cell>
          <cell r="K35">
            <v>4.3407902330165504E-2</v>
          </cell>
          <cell r="L35">
            <v>5.4515185211725381E-2</v>
          </cell>
        </row>
        <row r="36">
          <cell r="B36">
            <v>2800</v>
          </cell>
          <cell r="C36">
            <v>9.261476</v>
          </cell>
          <cell r="D36">
            <v>-2800</v>
          </cell>
          <cell r="E36">
            <v>-8.9621449999999996</v>
          </cell>
          <cell r="G36">
            <v>0.30232762034906746</v>
          </cell>
          <cell r="H36">
            <v>0.31242520624247877</v>
          </cell>
          <cell r="I36">
            <v>-1.0097585893411309E-2</v>
          </cell>
          <cell r="J36">
            <v>1.0097585893411309E-2</v>
          </cell>
          <cell r="K36">
            <v>4.814875299023097E-2</v>
          </cell>
          <cell r="L36">
            <v>6.0083922317486826E-2</v>
          </cell>
        </row>
        <row r="37">
          <cell r="B37">
            <v>2900</v>
          </cell>
          <cell r="C37">
            <v>9.4390800000000006</v>
          </cell>
          <cell r="D37">
            <v>-2900</v>
          </cell>
          <cell r="E37">
            <v>-9.1193229999999996</v>
          </cell>
          <cell r="G37">
            <v>0.30723333206202297</v>
          </cell>
          <cell r="H37">
            <v>0.31800606251143865</v>
          </cell>
          <cell r="I37">
            <v>-1.0772730449415679E-2</v>
          </cell>
          <cell r="J37">
            <v>1.0772730449415679E-2</v>
          </cell>
          <cell r="K37">
            <v>5.3054464703186477E-2</v>
          </cell>
          <cell r="L37">
            <v>6.5664778586446704E-2</v>
          </cell>
        </row>
        <row r="38">
          <cell r="B38">
            <v>3000</v>
          </cell>
          <cell r="C38">
            <v>9.6066800000000008</v>
          </cell>
          <cell r="D38">
            <v>-3000</v>
          </cell>
          <cell r="E38">
            <v>-9.2708349999999999</v>
          </cell>
          <cell r="G38">
            <v>0.3122827032856304</v>
          </cell>
          <cell r="H38">
            <v>0.32359544744351509</v>
          </cell>
          <cell r="I38">
            <v>-1.1312744157884691E-2</v>
          </cell>
          <cell r="J38">
            <v>1.1312744157884691E-2</v>
          </cell>
          <cell r="K38">
            <v>5.8103835926793912E-2</v>
          </cell>
          <cell r="L38">
            <v>7.125416351852315E-2</v>
          </cell>
        </row>
        <row r="39">
          <cell r="B39">
            <v>3100</v>
          </cell>
          <cell r="C39">
            <v>9.765193</v>
          </cell>
          <cell r="D39">
            <v>-3100</v>
          </cell>
          <cell r="E39">
            <v>-9.416919</v>
          </cell>
          <cell r="G39">
            <v>0.31745404315101605</v>
          </cell>
          <cell r="H39">
            <v>0.32919471856984223</v>
          </cell>
          <cell r="I39">
            <v>-1.1740675418826174E-2</v>
          </cell>
          <cell r="J39">
            <v>1.1740675418826174E-2</v>
          </cell>
          <cell r="K39">
            <v>6.3275175792179561E-2</v>
          </cell>
          <cell r="L39">
            <v>7.6853434644850283E-2</v>
          </cell>
        </row>
        <row r="40">
          <cell r="B40">
            <v>3200</v>
          </cell>
          <cell r="C40">
            <v>9.9155239999999996</v>
          </cell>
          <cell r="D40">
            <v>-3200</v>
          </cell>
          <cell r="E40">
            <v>-9.5579579999999993</v>
          </cell>
          <cell r="G40">
            <v>0.3227262623740309</v>
          </cell>
          <cell r="H40">
            <v>0.33479954609551543</v>
          </cell>
          <cell r="I40">
            <v>-1.2073283721484529E-2</v>
          </cell>
          <cell r="J40">
            <v>1.2073283721484529E-2</v>
          </cell>
          <cell r="K40">
            <v>6.8547395015194412E-2</v>
          </cell>
          <cell r="L40">
            <v>8.2458262170523489E-2</v>
          </cell>
        </row>
        <row r="41">
          <cell r="B41">
            <v>3300</v>
          </cell>
          <cell r="C41">
            <v>10.05847</v>
          </cell>
          <cell r="D41">
            <v>-3300</v>
          </cell>
          <cell r="E41">
            <v>-9.6942219999999999</v>
          </cell>
          <cell r="G41">
            <v>0.32808170626347744</v>
          </cell>
          <cell r="H41">
            <v>0.34040895700552348</v>
          </cell>
          <cell r="I41">
            <v>-1.2327250742046048E-2</v>
          </cell>
          <cell r="J41">
            <v>1.2327250742046048E-2</v>
          </cell>
          <cell r="K41">
            <v>7.3902838904640944E-2</v>
          </cell>
          <cell r="L41">
            <v>8.8067673080531539E-2</v>
          </cell>
        </row>
        <row r="42">
          <cell r="B42">
            <v>3400</v>
          </cell>
          <cell r="C42">
            <v>10.194750000000001</v>
          </cell>
          <cell r="D42">
            <v>-3400</v>
          </cell>
          <cell r="E42">
            <v>-9.8260070000000006</v>
          </cell>
          <cell r="G42">
            <v>0.33350499031364178</v>
          </cell>
          <cell r="H42">
            <v>0.34602051474215312</v>
          </cell>
          <cell r="I42">
            <v>-1.2515524428511338E-2</v>
          </cell>
          <cell r="J42">
            <v>1.2515524428511338E-2</v>
          </cell>
          <cell r="K42">
            <v>7.9326122954805289E-2</v>
          </cell>
          <cell r="L42">
            <v>9.3679230817161174E-2</v>
          </cell>
        </row>
        <row r="43">
          <cell r="B43">
            <v>3500</v>
          </cell>
          <cell r="C43">
            <v>10.324999999999999</v>
          </cell>
          <cell r="D43">
            <v>-3500</v>
          </cell>
          <cell r="E43">
            <v>-9.9534920000000007</v>
          </cell>
          <cell r="G43">
            <v>0.33898305084745767</v>
          </cell>
          <cell r="H43">
            <v>0.35163538585252291</v>
          </cell>
          <cell r="I43">
            <v>-1.2652335005065241E-2</v>
          </cell>
          <cell r="J43">
            <v>1.2652335005065241E-2</v>
          </cell>
          <cell r="K43">
            <v>8.4804183488621177E-2</v>
          </cell>
          <cell r="L43">
            <v>9.9294101927530964E-2</v>
          </cell>
        </row>
        <row r="44">
          <cell r="B44">
            <v>3600</v>
          </cell>
          <cell r="C44">
            <v>10.44975</v>
          </cell>
          <cell r="D44">
            <v>-3600</v>
          </cell>
          <cell r="E44">
            <v>-10.076980000000001</v>
          </cell>
          <cell r="G44">
            <v>0.344505849422235</v>
          </cell>
          <cell r="H44">
            <v>0.35724989034413085</v>
          </cell>
          <cell r="I44">
            <v>-1.2744040921895849E-2</v>
          </cell>
          <cell r="J44">
            <v>1.2744040921895849E-2</v>
          </cell>
          <cell r="K44">
            <v>9.0326982063398509E-2</v>
          </cell>
          <cell r="L44">
            <v>0.10490860641913891</v>
          </cell>
        </row>
        <row r="45">
          <cell r="B45">
            <v>3700</v>
          </cell>
          <cell r="C45">
            <v>10.569520000000001</v>
          </cell>
          <cell r="D45">
            <v>-3700</v>
          </cell>
          <cell r="E45">
            <v>-10.19661</v>
          </cell>
          <cell r="G45">
            <v>0.35006320059945956</v>
          </cell>
          <cell r="H45">
            <v>0.36286569752103887</v>
          </cell>
          <cell r="I45">
            <v>-1.2802496921579309E-2</v>
          </cell>
          <cell r="J45">
            <v>1.2802496921579309E-2</v>
          </cell>
          <cell r="K45">
            <v>9.5884333240623065E-2</v>
          </cell>
          <cell r="L45">
            <v>0.11052441359604692</v>
          </cell>
        </row>
        <row r="46">
          <cell r="B46">
            <v>3800</v>
          </cell>
          <cell r="C46">
            <v>10.68465</v>
          </cell>
          <cell r="D46">
            <v>-3800</v>
          </cell>
          <cell r="E46">
            <v>-10.312670000000001</v>
          </cell>
          <cell r="G46">
            <v>0.35565039566106516</v>
          </cell>
          <cell r="H46">
            <v>0.36847877416808639</v>
          </cell>
          <cell r="I46">
            <v>-1.2828378507021232E-2</v>
          </cell>
          <cell r="J46">
            <v>1.2828378507021232E-2</v>
          </cell>
          <cell r="K46">
            <v>0.10147152830222866</v>
          </cell>
          <cell r="L46">
            <v>0.11613749024309444</v>
          </cell>
        </row>
        <row r="47">
          <cell r="B47">
            <v>3900</v>
          </cell>
          <cell r="C47">
            <v>10.79561</v>
          </cell>
          <cell r="D47">
            <v>-3900</v>
          </cell>
          <cell r="E47">
            <v>-10.425269999999999</v>
          </cell>
          <cell r="G47">
            <v>0.36125795578017361</v>
          </cell>
          <cell r="H47">
            <v>0.37409103073589461</v>
          </cell>
          <cell r="I47">
            <v>-1.2833074955721002E-2</v>
          </cell>
          <cell r="J47">
            <v>1.2833074955721002E-2</v>
          </cell>
          <cell r="K47">
            <v>0.10707908842133712</v>
          </cell>
          <cell r="L47">
            <v>0.12174974681090267</v>
          </cell>
        </row>
        <row r="48">
          <cell r="B48">
            <v>4000</v>
          </cell>
          <cell r="C48">
            <v>10.902609999999999</v>
          </cell>
          <cell r="D48">
            <v>-4000</v>
          </cell>
          <cell r="E48">
            <v>-10.534649999999999</v>
          </cell>
          <cell r="G48">
            <v>0.36688462670865052</v>
          </cell>
          <cell r="H48">
            <v>0.37969937302141032</v>
          </cell>
          <cell r="I48">
            <v>-1.2814746312759806E-2</v>
          </cell>
          <cell r="J48">
            <v>1.2814746312759806E-2</v>
          </cell>
          <cell r="K48">
            <v>0.11270575934981403</v>
          </cell>
          <cell r="L48">
            <v>0.12735808909641838</v>
          </cell>
        </row>
        <row r="49">
          <cell r="B49">
            <v>4100</v>
          </cell>
          <cell r="C49">
            <v>11.006030000000001</v>
          </cell>
          <cell r="D49">
            <v>-4100</v>
          </cell>
          <cell r="E49">
            <v>-10.6409</v>
          </cell>
          <cell r="G49">
            <v>0.37252306235763477</v>
          </cell>
          <cell r="H49">
            <v>0.38530575421251956</v>
          </cell>
          <cell r="I49">
            <v>-1.2782691854884787E-2</v>
          </cell>
          <cell r="J49">
            <v>1.2782691854884787E-2</v>
          </cell>
          <cell r="K49">
            <v>0.11834419499879828</v>
          </cell>
          <cell r="L49">
            <v>0.13296447028752761</v>
          </cell>
        </row>
        <row r="50">
          <cell r="B50">
            <v>4200</v>
          </cell>
          <cell r="C50">
            <v>11.10605</v>
          </cell>
          <cell r="D50">
            <v>-4200</v>
          </cell>
          <cell r="E50">
            <v>-10.74424</v>
          </cell>
          <cell r="G50">
            <v>0.37817225746327454</v>
          </cell>
          <cell r="H50">
            <v>0.39090712791225812</v>
          </cell>
          <cell r="I50">
            <v>-1.2734870448983582E-2</v>
          </cell>
          <cell r="J50">
            <v>1.2734870448983582E-2</v>
          </cell>
          <cell r="K50">
            <v>0.12399339010443805</v>
          </cell>
          <cell r="L50">
            <v>0.13856584398726618</v>
          </cell>
        </row>
        <row r="51">
          <cell r="B51">
            <v>4300</v>
          </cell>
          <cell r="C51">
            <v>11.202959999999999</v>
          </cell>
          <cell r="D51">
            <v>-4300</v>
          </cell>
          <cell r="E51">
            <v>-10.84477</v>
          </cell>
          <cell r="G51">
            <v>0.3838271314009869</v>
          </cell>
          <cell r="H51">
            <v>0.39650449018282541</v>
          </cell>
          <cell r="I51">
            <v>-1.267735878183851E-2</v>
          </cell>
          <cell r="J51">
            <v>1.267735878183851E-2</v>
          </cell>
          <cell r="K51">
            <v>0.12964826404215041</v>
          </cell>
          <cell r="L51">
            <v>0.14416320625783346</v>
          </cell>
        </row>
        <row r="52">
          <cell r="B52">
            <v>4400</v>
          </cell>
          <cell r="C52">
            <v>11.296889999999999</v>
          </cell>
          <cell r="D52">
            <v>-4400</v>
          </cell>
          <cell r="E52">
            <v>-10.942640000000001</v>
          </cell>
          <cell r="G52">
            <v>0.38948772626802602</v>
          </cell>
          <cell r="H52">
            <v>0.40209675178933058</v>
          </cell>
          <cell r="I52">
            <v>-1.2609025521304551E-2</v>
          </cell>
          <cell r="J52">
            <v>1.2609025521304551E-2</v>
          </cell>
          <cell r="K52">
            <v>0.13530885890918953</v>
          </cell>
          <cell r="L52">
            <v>0.14975546786433863</v>
          </cell>
        </row>
        <row r="53">
          <cell r="B53">
            <v>4500</v>
          </cell>
          <cell r="C53">
            <v>11.38808</v>
          </cell>
          <cell r="D53">
            <v>-4500</v>
          </cell>
          <cell r="E53">
            <v>-11.03796</v>
          </cell>
          <cell r="G53">
            <v>0.39515001650848958</v>
          </cell>
          <cell r="H53">
            <v>0.40768402857049674</v>
          </cell>
          <cell r="I53">
            <v>-1.253401206200716E-2</v>
          </cell>
          <cell r="J53">
            <v>1.253401206200716E-2</v>
          </cell>
          <cell r="K53">
            <v>0.14097114914965309</v>
          </cell>
          <cell r="L53">
            <v>0.15534274464550479</v>
          </cell>
        </row>
        <row r="54">
          <cell r="B54">
            <v>4600</v>
          </cell>
          <cell r="C54">
            <v>11.47664</v>
          </cell>
          <cell r="D54">
            <v>-4600</v>
          </cell>
          <cell r="E54">
            <v>-11.13087</v>
          </cell>
          <cell r="G54">
            <v>0.40081417557752091</v>
          </cell>
          <cell r="H54">
            <v>0.41326509068922734</v>
          </cell>
          <cell r="I54">
            <v>-1.2450915111706429E-2</v>
          </cell>
          <cell r="J54">
            <v>1.2450915111706429E-2</v>
          </cell>
          <cell r="K54">
            <v>0.14663530821868442</v>
          </cell>
          <cell r="L54">
            <v>0.1609238067642354</v>
          </cell>
        </row>
        <row r="55">
          <cell r="B55">
            <v>4700</v>
          </cell>
          <cell r="C55">
            <v>11.562760000000001</v>
          </cell>
          <cell r="D55">
            <v>-4700</v>
          </cell>
          <cell r="E55">
            <v>-11.221450000000001</v>
          </cell>
          <cell r="G55">
            <v>0.40647734623913323</v>
          </cell>
          <cell r="H55">
            <v>0.41884070240476945</v>
          </cell>
          <cell r="I55">
            <v>-1.2363356165636219E-2</v>
          </cell>
          <cell r="J55">
            <v>1.2363356165636219E-2</v>
          </cell>
          <cell r="K55">
            <v>0.15229847888029674</v>
          </cell>
          <cell r="L55">
            <v>0.16649941847977751</v>
          </cell>
        </row>
        <row r="56">
          <cell r="B56">
            <v>4800</v>
          </cell>
          <cell r="C56">
            <v>11.646570000000001</v>
          </cell>
          <cell r="D56">
            <v>-4800</v>
          </cell>
          <cell r="E56">
            <v>-11.30982</v>
          </cell>
          <cell r="G56">
            <v>0.41213850944956321</v>
          </cell>
          <cell r="H56">
            <v>0.42440993755868789</v>
          </cell>
          <cell r="I56">
            <v>-1.2271428109124682E-2</v>
          </cell>
          <cell r="J56">
            <v>1.2271428109124682E-2</v>
          </cell>
          <cell r="K56">
            <v>0.15795964209072672</v>
          </cell>
          <cell r="L56">
            <v>0.17206865363369594</v>
          </cell>
        </row>
        <row r="57">
          <cell r="B57">
            <v>4900</v>
          </cell>
          <cell r="C57">
            <v>11.72817</v>
          </cell>
          <cell r="D57">
            <v>-4900</v>
          </cell>
          <cell r="E57">
            <v>-11.39607</v>
          </cell>
          <cell r="G57">
            <v>0.41779749099816937</v>
          </cell>
          <cell r="H57">
            <v>0.42997278886493329</v>
          </cell>
          <cell r="I57">
            <v>-1.2175297866763912E-2</v>
          </cell>
          <cell r="J57">
            <v>1.2175297866763912E-2</v>
          </cell>
          <cell r="K57">
            <v>0.16361862363933288</v>
          </cell>
          <cell r="L57">
            <v>0.17763150493994134</v>
          </cell>
        </row>
        <row r="58">
          <cell r="B58">
            <v>5000</v>
          </cell>
          <cell r="C58">
            <v>11.807689999999999</v>
          </cell>
          <cell r="D58">
            <v>-5000</v>
          </cell>
          <cell r="E58">
            <v>-11.48028</v>
          </cell>
          <cell r="G58">
            <v>0.42345285148915668</v>
          </cell>
          <cell r="H58">
            <v>0.43552944701697172</v>
          </cell>
          <cell r="I58">
            <v>-1.2076595527815037E-2</v>
          </cell>
          <cell r="J58">
            <v>1.2076595527815037E-2</v>
          </cell>
          <cell r="K58">
            <v>0.16927398413032019</v>
          </cell>
          <cell r="L58">
            <v>0.18318816309197977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103En_with_Frame"/>
      <sheetName val="FE103En_newVC_with_Frame_Bl分布"/>
    </sheetNames>
    <sheetDataSet>
      <sheetData sheetId="0"/>
      <sheetData sheetId="1">
        <row r="69">
          <cell r="U69" t="str">
            <v>klippel data</v>
          </cell>
        </row>
        <row r="70">
          <cell r="Q70" t="str">
            <v>sum BL</v>
          </cell>
        </row>
        <row r="71">
          <cell r="C71">
            <v>-2.9</v>
          </cell>
          <cell r="G71">
            <v>5.0427396850000004E-3</v>
          </cell>
          <cell r="S71">
            <v>18.945794620000001</v>
          </cell>
          <cell r="T71">
            <v>2.9843570296220267E-2</v>
          </cell>
          <cell r="U71">
            <v>-2.1396484</v>
          </cell>
          <cell r="V71">
            <v>3.8179604999999999</v>
          </cell>
        </row>
        <row r="72">
          <cell r="C72">
            <v>-2.8499274934000001</v>
          </cell>
          <cell r="G72">
            <v>5.0811568200000001E-3</v>
          </cell>
          <cell r="S72">
            <v>18.895722110000001</v>
          </cell>
          <cell r="T72">
            <v>3.0383107489205752E-2</v>
          </cell>
          <cell r="U72">
            <v>-2.0966659000000001</v>
          </cell>
          <cell r="V72">
            <v>3.8578079000000001</v>
          </cell>
        </row>
        <row r="73">
          <cell r="C73">
            <v>-2.7998549869999998</v>
          </cell>
          <cell r="G73">
            <v>5.1196539150000003E-3</v>
          </cell>
          <cell r="S73">
            <v>18.845649600000002</v>
          </cell>
          <cell r="T73">
            <v>3.0619119869434837E-2</v>
          </cell>
          <cell r="U73">
            <v>-2.0536837999999999</v>
          </cell>
          <cell r="V73">
            <v>3.8972728000000001</v>
          </cell>
        </row>
        <row r="74">
          <cell r="C74">
            <v>-2.7497824799999999</v>
          </cell>
          <cell r="G74">
            <v>5.1604445099999998E-3</v>
          </cell>
          <cell r="S74">
            <v>18.795577100000003</v>
          </cell>
          <cell r="T74">
            <v>3.0857881620703232E-2</v>
          </cell>
          <cell r="U74">
            <v>-2.0107012000000002</v>
          </cell>
          <cell r="V74">
            <v>3.9363203000000002</v>
          </cell>
        </row>
        <row r="75">
          <cell r="C75">
            <v>-2.699709973</v>
          </cell>
          <cell r="G75">
            <v>5.2054690550000001E-3</v>
          </cell>
          <cell r="S75">
            <v>18.745504590000003</v>
          </cell>
          <cell r="T75">
            <v>3.1096813282568601E-2</v>
          </cell>
          <cell r="U75">
            <v>-1.9677188000000001</v>
          </cell>
          <cell r="V75">
            <v>3.9749146</v>
          </cell>
        </row>
        <row r="76">
          <cell r="C76">
            <v>-2.6496374669999998</v>
          </cell>
          <cell r="G76">
            <v>5.2505687600000002E-3</v>
          </cell>
          <cell r="S76">
            <v>18.695432080000003</v>
          </cell>
          <cell r="T76">
            <v>3.1338375564725129E-2</v>
          </cell>
          <cell r="U76">
            <v>-1.9247365000000001</v>
          </cell>
          <cell r="V76">
            <v>4.01302</v>
          </cell>
        </row>
        <row r="77">
          <cell r="C77">
            <v>-2.5995649599999999</v>
          </cell>
          <cell r="G77">
            <v>5.2918520949999997E-3</v>
          </cell>
          <cell r="S77">
            <v>18.645359580000001</v>
          </cell>
          <cell r="T77">
            <v>3.1580615377133567E-2</v>
          </cell>
          <cell r="U77">
            <v>-1.8817542</v>
          </cell>
          <cell r="V77">
            <v>4.0505985999999998</v>
          </cell>
        </row>
        <row r="78">
          <cell r="C78">
            <v>-2.5494924540000001</v>
          </cell>
          <cell r="G78">
            <v>5.3325270749999994E-3</v>
          </cell>
          <cell r="S78">
            <v>18.595287070000001</v>
          </cell>
          <cell r="T78">
            <v>3.1825170791702183E-2</v>
          </cell>
          <cell r="U78">
            <v>-1.8387716999999999</v>
          </cell>
          <cell r="V78">
            <v>4.0876140999999997</v>
          </cell>
        </row>
        <row r="79">
          <cell r="C79">
            <v>-2.4994199469999998</v>
          </cell>
          <cell r="G79">
            <v>5.3732639849999996E-3</v>
          </cell>
          <cell r="S79">
            <v>18.545214560000002</v>
          </cell>
          <cell r="T79">
            <v>3.2072109349721191E-2</v>
          </cell>
          <cell r="U79">
            <v>-1.7957894000000001</v>
          </cell>
          <cell r="V79">
            <v>4.1240281999999997</v>
          </cell>
        </row>
        <row r="80">
          <cell r="C80">
            <v>-2.4493474399999999</v>
          </cell>
          <cell r="G80">
            <v>5.4140613749999993E-3</v>
          </cell>
          <cell r="S80">
            <v>18.495142060000003</v>
          </cell>
          <cell r="T80">
            <v>3.2321218014044147E-2</v>
          </cell>
          <cell r="U80">
            <v>-1.7528068999999999</v>
          </cell>
          <cell r="V80">
            <v>4.159802</v>
          </cell>
        </row>
        <row r="81">
          <cell r="C81">
            <v>-2.3992749340000001</v>
          </cell>
          <cell r="G81">
            <v>5.4549178349999998E-3</v>
          </cell>
          <cell r="S81">
            <v>18.445069549999999</v>
          </cell>
          <cell r="T81">
            <v>3.2572668473473412E-2</v>
          </cell>
          <cell r="U81">
            <v>-1.7098245999999999</v>
          </cell>
          <cell r="V81">
            <v>4.1948977000000003</v>
          </cell>
        </row>
        <row r="82">
          <cell r="C82">
            <v>-2.3492024269999998</v>
          </cell>
          <cell r="G82">
            <v>5.4984519500000002E-3</v>
          </cell>
          <cell r="S82">
            <v>18.39499704</v>
          </cell>
          <cell r="T82">
            <v>3.2826320910674625E-2</v>
          </cell>
          <cell r="U82">
            <v>-1.6668421</v>
          </cell>
          <cell r="V82">
            <v>4.2292756999999996</v>
          </cell>
        </row>
        <row r="83">
          <cell r="C83">
            <v>-2.2991299199999999</v>
          </cell>
          <cell r="G83">
            <v>5.5452749249999995E-3</v>
          </cell>
          <cell r="S83">
            <v>18.344924540000001</v>
          </cell>
          <cell r="T83">
            <v>3.3081611196153479E-2</v>
          </cell>
          <cell r="U83">
            <v>-1.6238599</v>
          </cell>
          <cell r="V83">
            <v>4.2628969999999997</v>
          </cell>
        </row>
        <row r="84">
          <cell r="C84">
            <v>-2.2490574140000001</v>
          </cell>
          <cell r="G84">
            <v>5.5918916150000005E-3</v>
          </cell>
          <cell r="S84">
            <v>18.294852030000001</v>
          </cell>
          <cell r="T84">
            <v>3.3339230101844738E-2</v>
          </cell>
          <cell r="U84">
            <v>-1.5808774000000001</v>
          </cell>
          <cell r="V84">
            <v>4.2957215</v>
          </cell>
        </row>
        <row r="85">
          <cell r="C85">
            <v>-2.1989849069999998</v>
          </cell>
          <cell r="G85">
            <v>5.6385609150000002E-3</v>
          </cell>
          <cell r="S85">
            <v>18.244779520000002</v>
          </cell>
          <cell r="T85">
            <v>3.3597490363871628E-2</v>
          </cell>
          <cell r="U85">
            <v>-1.5378951000000001</v>
          </cell>
          <cell r="V85">
            <v>4.3277102000000003</v>
          </cell>
        </row>
        <row r="86">
          <cell r="C86">
            <v>-2.148912401</v>
          </cell>
          <cell r="G86">
            <v>5.68528153E-3</v>
          </cell>
          <cell r="S86">
            <v>18.194707020000003</v>
          </cell>
          <cell r="T86">
            <v>3.3858908566660538E-2</v>
          </cell>
          <cell r="U86">
            <v>-1.4949125999999999</v>
          </cell>
          <cell r="V86">
            <v>4.3588233000000001</v>
          </cell>
        </row>
        <row r="87">
          <cell r="C87">
            <v>-2.0988398940000002</v>
          </cell>
          <cell r="G87">
            <v>5.7318464099999997E-3</v>
          </cell>
          <cell r="S87">
            <v>18.144634510000003</v>
          </cell>
          <cell r="T87">
            <v>3.4120157000733113E-2</v>
          </cell>
          <cell r="U87">
            <v>-1.4519302999999999</v>
          </cell>
          <cell r="V87">
            <v>4.3890209000000002</v>
          </cell>
        </row>
        <row r="88">
          <cell r="C88">
            <v>-2.0487673869999998</v>
          </cell>
          <cell r="G88">
            <v>5.7763458099999998E-3</v>
          </cell>
          <cell r="S88">
            <v>18.094562000000003</v>
          </cell>
          <cell r="T88">
            <v>3.4385069346903566E-2</v>
          </cell>
          <cell r="U88">
            <v>-1.4089478</v>
          </cell>
          <cell r="V88">
            <v>4.4182633999999998</v>
          </cell>
        </row>
        <row r="89">
          <cell r="C89">
            <v>-1.998694881</v>
          </cell>
          <cell r="G89">
            <v>5.8212979449999997E-3</v>
          </cell>
          <cell r="S89">
            <v>18.044489500000001</v>
          </cell>
          <cell r="T89">
            <v>3.4650400370493148E-2</v>
          </cell>
          <cell r="U89">
            <v>-1.3659656</v>
          </cell>
          <cell r="V89">
            <v>4.4465117000000003</v>
          </cell>
        </row>
        <row r="90">
          <cell r="C90">
            <v>-1.9486223739999999</v>
          </cell>
          <cell r="G90">
            <v>5.8662972949999996E-3</v>
          </cell>
          <cell r="S90">
            <v>17.994416990000001</v>
          </cell>
          <cell r="T90">
            <v>3.4920126985434917E-2</v>
          </cell>
          <cell r="U90">
            <v>-1.3229831000000001</v>
          </cell>
          <cell r="V90">
            <v>4.4737263</v>
          </cell>
        </row>
        <row r="91">
          <cell r="C91">
            <v>-1.8985498699999999</v>
          </cell>
          <cell r="G91">
            <v>5.9113428000000003E-3</v>
          </cell>
          <cell r="S91">
            <v>17.944344480000002</v>
          </cell>
          <cell r="T91">
            <v>3.5190320563608476E-2</v>
          </cell>
          <cell r="U91">
            <v>-1.2800008</v>
          </cell>
          <cell r="V91">
            <v>4.4998689000000001</v>
          </cell>
        </row>
        <row r="92">
          <cell r="C92">
            <v>-1.84847736</v>
          </cell>
          <cell r="G92">
            <v>5.9564333999999998E-3</v>
          </cell>
          <cell r="S92">
            <v>17.894271980000003</v>
          </cell>
          <cell r="T92">
            <v>3.5464567542595041E-2</v>
          </cell>
          <cell r="U92">
            <v>-1.2370182999999999</v>
          </cell>
          <cell r="V92">
            <v>4.5249008999999996</v>
          </cell>
        </row>
        <row r="93">
          <cell r="C93">
            <v>-1.7984048499999998</v>
          </cell>
          <cell r="G93">
            <v>6.0020127550000002E-3</v>
          </cell>
          <cell r="S93">
            <v>17.84419947</v>
          </cell>
          <cell r="T93">
            <v>3.5739833987707782E-2</v>
          </cell>
          <cell r="U93">
            <v>-1.1940360000000001</v>
          </cell>
          <cell r="V93">
            <v>4.5487846999999997</v>
          </cell>
        </row>
        <row r="94">
          <cell r="C94">
            <v>-1.7483323499999999</v>
          </cell>
          <cell r="G94">
            <v>6.049101615E-3</v>
          </cell>
          <cell r="S94">
            <v>17.79412696</v>
          </cell>
          <cell r="T94">
            <v>3.6018282941814715E-2</v>
          </cell>
          <cell r="U94">
            <v>-1.1510535</v>
          </cell>
          <cell r="V94">
            <v>4.5714835999999996</v>
          </cell>
        </row>
        <row r="95">
          <cell r="C95">
            <v>-1.69825984</v>
          </cell>
          <cell r="G95">
            <v>6.0974083449999994E-3</v>
          </cell>
          <cell r="S95">
            <v>17.744054460000001</v>
          </cell>
          <cell r="T95">
            <v>3.6297947997765471E-2</v>
          </cell>
          <cell r="U95">
            <v>-1.1080711999999999</v>
          </cell>
          <cell r="V95">
            <v>4.5929608000000002</v>
          </cell>
        </row>
        <row r="96">
          <cell r="C96">
            <v>-1.6481873299999998</v>
          </cell>
          <cell r="G96">
            <v>6.1457598899999997E-3</v>
          </cell>
          <cell r="S96">
            <v>17.693981950000001</v>
          </cell>
          <cell r="T96">
            <v>3.6580510826943198E-2</v>
          </cell>
          <cell r="U96">
            <v>-1.0650887</v>
          </cell>
          <cell r="V96">
            <v>4.6131815999999999</v>
          </cell>
        </row>
        <row r="97">
          <cell r="C97">
            <v>-1.5981148299999999</v>
          </cell>
          <cell r="G97">
            <v>6.1941551999999999E-3</v>
          </cell>
          <cell r="S97">
            <v>17.643909440000002</v>
          </cell>
          <cell r="T97">
            <v>3.6864445344638307E-2</v>
          </cell>
          <cell r="U97">
            <v>-1.0221064</v>
          </cell>
          <cell r="V97">
            <v>4.6321111000000004</v>
          </cell>
        </row>
        <row r="98">
          <cell r="C98">
            <v>-1.54804232</v>
          </cell>
          <cell r="G98">
            <v>6.243721275E-3</v>
          </cell>
          <cell r="S98">
            <v>17.593836940000003</v>
          </cell>
          <cell r="T98">
            <v>3.7151266289855892E-2</v>
          </cell>
          <cell r="U98">
            <v>-0.97912407000000001</v>
          </cell>
          <cell r="V98">
            <v>4.6497159000000003</v>
          </cell>
        </row>
        <row r="99">
          <cell r="C99">
            <v>-1.4979698099999998</v>
          </cell>
          <cell r="G99">
            <v>6.2945672050000005E-3</v>
          </cell>
          <cell r="S99">
            <v>17.543764430000003</v>
          </cell>
          <cell r="T99">
            <v>3.744033166119707E-2</v>
          </cell>
          <cell r="U99">
            <v>-0.93614167000000004</v>
          </cell>
          <cell r="V99">
            <v>4.6659645999999997</v>
          </cell>
        </row>
        <row r="100">
          <cell r="C100">
            <v>-1.4478973099999999</v>
          </cell>
          <cell r="G100">
            <v>6.3419297749999996E-3</v>
          </cell>
          <cell r="S100">
            <v>17.493691920000003</v>
          </cell>
          <cell r="T100">
            <v>3.7730898461890656E-2</v>
          </cell>
          <cell r="U100">
            <v>-0.89315926999999995</v>
          </cell>
          <cell r="V100">
            <v>4.6808262000000003</v>
          </cell>
        </row>
        <row r="101">
          <cell r="C101">
            <v>-1.3978248</v>
          </cell>
          <cell r="G101">
            <v>6.3890194950000003E-3</v>
          </cell>
          <cell r="S101">
            <v>17.443619420000001</v>
          </cell>
          <cell r="T101">
            <v>3.8024386473957734E-2</v>
          </cell>
          <cell r="U101">
            <v>-0.85017686999999997</v>
          </cell>
          <cell r="V101">
            <v>4.6942716000000004</v>
          </cell>
        </row>
        <row r="102">
          <cell r="C102">
            <v>-1.3477522899999999</v>
          </cell>
          <cell r="G102">
            <v>6.43615496E-3</v>
          </cell>
          <cell r="S102">
            <v>17.393546910000001</v>
          </cell>
          <cell r="T102">
            <v>3.8318480389021574E-2</v>
          </cell>
          <cell r="U102">
            <v>-0.80719452999999997</v>
          </cell>
          <cell r="V102">
            <v>4.7062726000000001</v>
          </cell>
        </row>
        <row r="103">
          <cell r="C103">
            <v>-1.2976797899999999</v>
          </cell>
          <cell r="G103">
            <v>6.4827920449999996E-3</v>
          </cell>
          <cell r="S103">
            <v>17.343474400000002</v>
          </cell>
          <cell r="T103">
            <v>3.8616818587409382E-2</v>
          </cell>
          <cell r="U103">
            <v>-0.76421212999999999</v>
          </cell>
          <cell r="V103">
            <v>4.7168030999999999</v>
          </cell>
        </row>
        <row r="104">
          <cell r="C104">
            <v>-1.24760728</v>
          </cell>
          <cell r="G104">
            <v>6.5268531450000007E-3</v>
          </cell>
          <cell r="S104">
            <v>17.293401899999999</v>
          </cell>
          <cell r="T104">
            <v>3.8914495390639139E-2</v>
          </cell>
          <cell r="U104">
            <v>-0.72122973000000001</v>
          </cell>
          <cell r="V104">
            <v>4.7258395999999996</v>
          </cell>
        </row>
        <row r="105">
          <cell r="C105">
            <v>-1.1975347699999999</v>
          </cell>
          <cell r="G105">
            <v>6.5713600650000002E-3</v>
          </cell>
          <cell r="S105">
            <v>17.24332939</v>
          </cell>
          <cell r="T105">
            <v>3.921777788828399E-2</v>
          </cell>
          <cell r="U105">
            <v>-0.67824739000000001</v>
          </cell>
          <cell r="V105">
            <v>4.7333588999999998</v>
          </cell>
        </row>
        <row r="106">
          <cell r="C106">
            <v>-1.1474622699999999</v>
          </cell>
          <cell r="G106">
            <v>6.6168516449999996E-3</v>
          </cell>
          <cell r="S106">
            <v>17.19325688</v>
          </cell>
          <cell r="T106">
            <v>3.9521057291944238E-2</v>
          </cell>
          <cell r="U106">
            <v>-0.63526499000000003</v>
          </cell>
          <cell r="V106">
            <v>4.7393403000000003</v>
          </cell>
        </row>
        <row r="107">
          <cell r="C107">
            <v>-1.09738976</v>
          </cell>
          <cell r="G107">
            <v>6.6623768550000007E-3</v>
          </cell>
          <cell r="S107">
            <v>17.143184380000001</v>
          </cell>
          <cell r="T107">
            <v>3.9829698068171764E-2</v>
          </cell>
          <cell r="U107">
            <v>-0.59228259000000005</v>
          </cell>
          <cell r="V107">
            <v>4.7437662999999999</v>
          </cell>
        </row>
        <row r="108">
          <cell r="C108">
            <v>-1.0473172499999999</v>
          </cell>
          <cell r="G108">
            <v>6.7079350149999994E-3</v>
          </cell>
          <cell r="S108">
            <v>17.093111870000001</v>
          </cell>
          <cell r="T108">
            <v>4.0138639061264809E-2</v>
          </cell>
          <cell r="U108">
            <v>-0.54930025000000005</v>
          </cell>
          <cell r="V108">
            <v>4.7466197000000001</v>
          </cell>
        </row>
        <row r="109">
          <cell r="C109">
            <v>-0.9972447499999999</v>
          </cell>
          <cell r="G109">
            <v>6.7572034250000003E-3</v>
          </cell>
          <cell r="S109">
            <v>17.043039360000002</v>
          </cell>
          <cell r="T109">
            <v>4.0452516681567047E-2</v>
          </cell>
          <cell r="U109">
            <v>-0.50631784999999996</v>
          </cell>
          <cell r="V109">
            <v>4.7478866999999996</v>
          </cell>
        </row>
        <row r="110">
          <cell r="C110">
            <v>-0.94717224</v>
          </cell>
          <cell r="G110">
            <v>6.8070861099999999E-3</v>
          </cell>
          <cell r="S110">
            <v>16.992966860000003</v>
          </cell>
          <cell r="T110">
            <v>4.0766563412560256E-2</v>
          </cell>
          <cell r="U110">
            <v>-0.46333544999999998</v>
          </cell>
          <cell r="V110">
            <v>4.7475557000000004</v>
          </cell>
        </row>
        <row r="111">
          <cell r="C111">
            <v>-0.89709972999999987</v>
          </cell>
          <cell r="G111">
            <v>6.8608516949999997E-3</v>
          </cell>
          <cell r="S111">
            <v>16.942894350000003</v>
          </cell>
          <cell r="T111">
            <v>4.1085750472876111E-2</v>
          </cell>
          <cell r="U111">
            <v>-0.42035307999999999</v>
          </cell>
          <cell r="V111">
            <v>4.7456174000000004</v>
          </cell>
        </row>
        <row r="112">
          <cell r="C112">
            <v>-0.84702723000000013</v>
          </cell>
          <cell r="G112">
            <v>6.9164459049999997E-3</v>
          </cell>
          <cell r="S112">
            <v>16.892821840000003</v>
          </cell>
          <cell r="T112">
            <v>4.1404065759653781E-2</v>
          </cell>
          <cell r="U112">
            <v>-0.37737071999999999</v>
          </cell>
          <cell r="V112">
            <v>4.7420644999999997</v>
          </cell>
        </row>
        <row r="113">
          <cell r="C113">
            <v>-0.79695472000000001</v>
          </cell>
          <cell r="G113">
            <v>6.9720958300000004E-3</v>
          </cell>
          <cell r="S113">
            <v>16.842749340000001</v>
          </cell>
          <cell r="T113">
            <v>4.1727590238286996E-2</v>
          </cell>
          <cell r="U113">
            <v>-0.33438832000000002</v>
          </cell>
          <cell r="V113">
            <v>4.7368927000000003</v>
          </cell>
        </row>
        <row r="114">
          <cell r="C114">
            <v>-0.74688221999999982</v>
          </cell>
          <cell r="G114">
            <v>7.0283649200000003E-3</v>
          </cell>
          <cell r="S114">
            <v>16.792676830000001</v>
          </cell>
          <cell r="T114">
            <v>4.2050159964422573E-2</v>
          </cell>
          <cell r="U114">
            <v>-0.29140595000000002</v>
          </cell>
          <cell r="V114">
            <v>4.7301001999999999</v>
          </cell>
        </row>
        <row r="115">
          <cell r="C115">
            <v>-0.69680970999999969</v>
          </cell>
          <cell r="G115">
            <v>7.0851220599999999E-3</v>
          </cell>
          <cell r="S115">
            <v>16.742604320000002</v>
          </cell>
          <cell r="T115">
            <v>4.2377801854651426E-2</v>
          </cell>
          <cell r="U115">
            <v>-0.24842358</v>
          </cell>
          <cell r="V115">
            <v>4.7216877999999998</v>
          </cell>
        </row>
        <row r="116">
          <cell r="C116">
            <v>-0.64673720000000001</v>
          </cell>
          <cell r="G116">
            <v>7.1417103900000001E-3</v>
          </cell>
          <cell r="S116">
            <v>16.692531819999999</v>
          </cell>
          <cell r="T116">
            <v>4.2705536349421862E-2</v>
          </cell>
          <cell r="U116">
            <v>-0.20544119</v>
          </cell>
          <cell r="V116">
            <v>4.7116585000000004</v>
          </cell>
        </row>
        <row r="117">
          <cell r="C117">
            <v>-0.59666469999999983</v>
          </cell>
          <cell r="G117">
            <v>7.1953462750000002E-3</v>
          </cell>
          <cell r="S117">
            <v>16.64245931</v>
          </cell>
          <cell r="T117">
            <v>4.3038434171317079E-2</v>
          </cell>
          <cell r="U117">
            <v>-0.16245881000000001</v>
          </cell>
          <cell r="V117">
            <v>4.7000184000000003</v>
          </cell>
        </row>
        <row r="118">
          <cell r="C118">
            <v>-0.5465921899999997</v>
          </cell>
          <cell r="G118">
            <v>7.2490156349999998E-3</v>
          </cell>
          <cell r="S118">
            <v>16.5923868</v>
          </cell>
          <cell r="T118">
            <v>4.3371872711852555E-2</v>
          </cell>
          <cell r="U118">
            <v>-0.11947642</v>
          </cell>
          <cell r="V118">
            <v>4.6867766</v>
          </cell>
        </row>
        <row r="119">
          <cell r="C119">
            <v>-0.49651968000000002</v>
          </cell>
          <cell r="G119">
            <v>7.3024941550000003E-3</v>
          </cell>
          <cell r="S119">
            <v>16.542314300000001</v>
          </cell>
          <cell r="T119">
            <v>4.3711770976715809E-2</v>
          </cell>
          <cell r="U119">
            <v>-7.6494038E-2</v>
          </cell>
          <cell r="V119">
            <v>4.6719441000000002</v>
          </cell>
        </row>
        <row r="120">
          <cell r="C120">
            <v>-0.44644717999999983</v>
          </cell>
          <cell r="G120">
            <v>7.3553552750000003E-3</v>
          </cell>
          <cell r="S120">
            <v>16.492241790000001</v>
          </cell>
          <cell r="T120">
            <v>4.4050930045486603E-2</v>
          </cell>
          <cell r="U120">
            <v>-3.3511660999999998E-2</v>
          </cell>
          <cell r="V120">
            <v>4.6555346999999996</v>
          </cell>
        </row>
        <row r="121">
          <cell r="C121">
            <v>-0.39637466999999971</v>
          </cell>
          <cell r="G121">
            <v>7.408238375E-3</v>
          </cell>
          <cell r="S121">
            <v>16.442169280000002</v>
          </cell>
          <cell r="T121">
            <v>4.4397824013173978E-2</v>
          </cell>
          <cell r="U121">
            <v>9.4707226000000002E-3</v>
          </cell>
          <cell r="V121">
            <v>4.6375650999999998</v>
          </cell>
        </row>
        <row r="122">
          <cell r="C122">
            <v>-0.34630216000000003</v>
          </cell>
          <cell r="G122">
            <v>7.4631116400000006E-3</v>
          </cell>
          <cell r="S122">
            <v>16.392096780000003</v>
          </cell>
          <cell r="T122">
            <v>4.474239404069575E-2</v>
          </cell>
          <cell r="U122">
            <v>5.2453101000000002E-2</v>
          </cell>
          <cell r="V122">
            <v>4.6180544000000001</v>
          </cell>
        </row>
        <row r="123">
          <cell r="C123">
            <v>-0.29622965999999984</v>
          </cell>
          <cell r="G123">
            <v>7.5204133400000005E-3</v>
          </cell>
          <cell r="S123">
            <v>16.342024270000003</v>
          </cell>
          <cell r="T123">
            <v>4.5094977917546693E-2</v>
          </cell>
          <cell r="U123">
            <v>9.5435485E-2</v>
          </cell>
          <cell r="V123">
            <v>4.5970243999999996</v>
          </cell>
        </row>
        <row r="124">
          <cell r="C124">
            <v>-0.24615714999999971</v>
          </cell>
          <cell r="G124">
            <v>7.5777432800000002E-3</v>
          </cell>
          <cell r="S124">
            <v>16.291951760000003</v>
          </cell>
          <cell r="T124">
            <v>4.5444951261353027E-2</v>
          </cell>
          <cell r="U124">
            <v>0.13841787</v>
          </cell>
          <cell r="V124">
            <v>4.5744990999999997</v>
          </cell>
        </row>
        <row r="125">
          <cell r="C125">
            <v>-0.19608464000000003</v>
          </cell>
          <cell r="G125">
            <v>7.6412383049999999E-3</v>
          </cell>
          <cell r="S125">
            <v>16.241879260000001</v>
          </cell>
          <cell r="T125">
            <v>4.5801991639145119E-2</v>
          </cell>
          <cell r="U125">
            <v>0.18140023999999999</v>
          </cell>
          <cell r="V125">
            <v>4.5505051999999999</v>
          </cell>
        </row>
        <row r="126">
          <cell r="C126">
            <v>-0.14601213999999985</v>
          </cell>
          <cell r="G126">
            <v>7.7050646499999993E-3</v>
          </cell>
          <cell r="S126">
            <v>16.191806750000001</v>
          </cell>
          <cell r="T126">
            <v>4.6157199468830887E-2</v>
          </cell>
          <cell r="U126">
            <v>0.22438262</v>
          </cell>
          <cell r="V126">
            <v>4.5250716000000004</v>
          </cell>
        </row>
        <row r="127">
          <cell r="C127">
            <v>-9.593962999999972E-2</v>
          </cell>
          <cell r="G127">
            <v>7.7689198199999993E-3</v>
          </cell>
          <cell r="S127">
            <v>16.141734240000002</v>
          </cell>
          <cell r="T127">
            <v>4.6518690096942872E-2</v>
          </cell>
          <cell r="U127">
            <v>0.26736501000000001</v>
          </cell>
          <cell r="V127">
            <v>4.4982300000000004</v>
          </cell>
        </row>
        <row r="128">
          <cell r="C128">
            <v>-4.5867120000000039E-2</v>
          </cell>
          <cell r="G128">
            <v>7.8313696800000002E-3</v>
          </cell>
          <cell r="S128">
            <v>16.091661739999999</v>
          </cell>
          <cell r="T128">
            <v>4.6879418547756624E-2</v>
          </cell>
          <cell r="U128">
            <v>0.31034740999999999</v>
          </cell>
          <cell r="V128">
            <v>4.4700135999999997</v>
          </cell>
        </row>
        <row r="129">
          <cell r="C129">
            <v>4.2053800000001473E-3</v>
          </cell>
          <cell r="G129">
            <v>7.8935681750000007E-3</v>
          </cell>
          <cell r="S129">
            <v>16.04158923</v>
          </cell>
          <cell r="T129">
            <v>4.7246967422061407E-2</v>
          </cell>
          <cell r="U129">
            <v>0.35332977999999998</v>
          </cell>
          <cell r="V129">
            <v>4.4404573000000003</v>
          </cell>
        </row>
        <row r="130">
          <cell r="C130">
            <v>5.4277890000000273E-2</v>
          </cell>
          <cell r="G130">
            <v>7.9529781800000005E-3</v>
          </cell>
          <cell r="S130">
            <v>15.991516720000002</v>
          </cell>
          <cell r="T130">
            <v>4.761321353463404E-2</v>
          </cell>
          <cell r="U130">
            <v>0.39631218000000001</v>
          </cell>
          <cell r="V130">
            <v>4.4095997999999996</v>
          </cell>
        </row>
        <row r="131">
          <cell r="C131">
            <v>0.10435039999999995</v>
          </cell>
          <cell r="G131">
            <v>8.0109015249999992E-3</v>
          </cell>
          <cell r="S131">
            <v>15.941444220000001</v>
          </cell>
          <cell r="T131">
            <v>4.7987196049006094E-2</v>
          </cell>
          <cell r="U131">
            <v>0.43929455000000001</v>
          </cell>
          <cell r="V131">
            <v>4.3774800000000003</v>
          </cell>
        </row>
        <row r="132">
          <cell r="C132">
            <v>0.15442290000000014</v>
          </cell>
          <cell r="G132">
            <v>8.0688699800000006E-3</v>
          </cell>
          <cell r="S132">
            <v>15.891371710000001</v>
          </cell>
          <cell r="T132">
            <v>4.8358813874365587E-2</v>
          </cell>
          <cell r="U132">
            <v>0.48227694999999998</v>
          </cell>
          <cell r="V132">
            <v>4.3441386</v>
          </cell>
        </row>
        <row r="133">
          <cell r="C133">
            <v>0.20449541000000027</v>
          </cell>
          <cell r="G133">
            <v>8.1280089199999989E-3</v>
          </cell>
          <cell r="S133">
            <v>15.841299200000002</v>
          </cell>
          <cell r="T133">
            <v>4.8739124143328531E-2</v>
          </cell>
          <cell r="U133">
            <v>0.52525931999999997</v>
          </cell>
          <cell r="V133">
            <v>4.3096189000000003</v>
          </cell>
        </row>
        <row r="134">
          <cell r="C134">
            <v>0.25456791999999995</v>
          </cell>
          <cell r="G134">
            <v>8.1912443699999997E-3</v>
          </cell>
          <cell r="S134">
            <v>15.791226700000001</v>
          </cell>
          <cell r="T134">
            <v>4.9115838879285473E-2</v>
          </cell>
          <cell r="U134">
            <v>0.56824171999999995</v>
          </cell>
          <cell r="V134">
            <v>4.2739643999999997</v>
          </cell>
        </row>
        <row r="135">
          <cell r="C135">
            <v>0.30464042000000013</v>
          </cell>
          <cell r="G135">
            <v>8.2560982049999995E-3</v>
          </cell>
          <cell r="S135">
            <v>15.741154190000001</v>
          </cell>
          <cell r="T135">
            <v>4.950084969355132E-2</v>
          </cell>
          <cell r="U135">
            <v>0.61122405999999996</v>
          </cell>
          <cell r="V135">
            <v>4.2372211999999996</v>
          </cell>
        </row>
        <row r="136">
          <cell r="C136">
            <v>0.35471293000000026</v>
          </cell>
          <cell r="G136">
            <v>8.3240038999999998E-3</v>
          </cell>
          <cell r="S136">
            <v>15.691081680000002</v>
          </cell>
          <cell r="T136">
            <v>4.9882534490041902E-2</v>
          </cell>
          <cell r="U136">
            <v>0.65420644999999999</v>
          </cell>
          <cell r="V136">
            <v>4.1994362000000001</v>
          </cell>
        </row>
        <row r="137">
          <cell r="C137">
            <v>0.40478543999999994</v>
          </cell>
          <cell r="G137">
            <v>8.3919311349999991E-3</v>
          </cell>
          <cell r="S137">
            <v>15.641009180000001</v>
          </cell>
          <cell r="T137">
            <v>5.0271756186007266E-2</v>
          </cell>
          <cell r="U137">
            <v>0.69718884999999997</v>
          </cell>
          <cell r="V137">
            <v>4.1606569000000002</v>
          </cell>
        </row>
        <row r="138">
          <cell r="C138">
            <v>0.45485794000000013</v>
          </cell>
          <cell r="G138">
            <v>8.4598793900000011E-3</v>
          </cell>
          <cell r="S138">
            <v>15.590936670000001</v>
          </cell>
          <cell r="T138">
            <v>5.0659303294331173E-2</v>
          </cell>
          <cell r="U138">
            <v>0.74017118999999998</v>
          </cell>
          <cell r="V138">
            <v>4.1209321000000001</v>
          </cell>
        </row>
        <row r="139">
          <cell r="C139">
            <v>0.50493045000000025</v>
          </cell>
          <cell r="G139">
            <v>8.5286810950000007E-3</v>
          </cell>
          <cell r="S139">
            <v>15.540864160000002</v>
          </cell>
          <cell r="T139">
            <v>5.1052889528629554E-2</v>
          </cell>
          <cell r="U139">
            <v>0.78315358999999996</v>
          </cell>
          <cell r="V139">
            <v>4.0803108000000003</v>
          </cell>
        </row>
        <row r="140">
          <cell r="C140">
            <v>0.55500295999999993</v>
          </cell>
          <cell r="G140">
            <v>8.5981193549999994E-3</v>
          </cell>
          <cell r="S140">
            <v>15.490791660000001</v>
          </cell>
          <cell r="T140">
            <v>5.1446293787279308E-2</v>
          </cell>
          <cell r="U140">
            <v>0.82613599000000004</v>
          </cell>
          <cell r="V140">
            <v>4.0388441000000004</v>
          </cell>
        </row>
        <row r="141">
          <cell r="C141">
            <v>0.60507546000000012</v>
          </cell>
          <cell r="G141">
            <v>8.6691369800000005E-3</v>
          </cell>
          <cell r="S141">
            <v>15.440719150000001</v>
          </cell>
          <cell r="T141">
            <v>5.1844359569672142E-2</v>
          </cell>
          <cell r="U141">
            <v>0.86911839000000002</v>
          </cell>
          <cell r="V141">
            <v>3.9965815999999998</v>
          </cell>
        </row>
        <row r="142">
          <cell r="C142">
            <v>0.65514797000000025</v>
          </cell>
          <cell r="G142">
            <v>8.7401669049999992E-3</v>
          </cell>
          <cell r="S142">
            <v>15.390646650000001</v>
          </cell>
          <cell r="T142">
            <v>5.224279074224937E-2</v>
          </cell>
          <cell r="U142">
            <v>0.91210073000000003</v>
          </cell>
          <cell r="V142">
            <v>3.9535743999999999</v>
          </cell>
        </row>
        <row r="143">
          <cell r="C143">
            <v>0.70522047999999993</v>
          </cell>
          <cell r="G143">
            <v>8.8112088249999998E-3</v>
          </cell>
          <cell r="S143">
            <v>15.340574140000001</v>
          </cell>
          <cell r="T143">
            <v>5.2645266707656922E-2</v>
          </cell>
          <cell r="U143">
            <v>0.95508313</v>
          </cell>
          <cell r="V143">
            <v>3.9098736999999999</v>
          </cell>
        </row>
        <row r="144">
          <cell r="C144">
            <v>0.75529298000000011</v>
          </cell>
          <cell r="G144">
            <v>8.8822624549999996E-3</v>
          </cell>
          <cell r="S144">
            <v>15.290501630000001</v>
          </cell>
          <cell r="T144">
            <v>5.3047548875266345E-2</v>
          </cell>
          <cell r="U144">
            <v>0.99806552999999998</v>
          </cell>
          <cell r="V144">
            <v>3.8655306999999999</v>
          </cell>
        </row>
        <row r="145">
          <cell r="C145">
            <v>0.80536549000000024</v>
          </cell>
          <cell r="G145">
            <v>8.9508292999999992E-3</v>
          </cell>
          <cell r="S145">
            <v>15.240429130000003</v>
          </cell>
          <cell r="T145">
            <v>5.3456150528219643E-2</v>
          </cell>
          <cell r="U145">
            <v>1.0410478999999999</v>
          </cell>
          <cell r="V145">
            <v>3.8205962000000002</v>
          </cell>
        </row>
        <row r="146">
          <cell r="C146">
            <v>0.85543799999999992</v>
          </cell>
          <cell r="G146">
            <v>9.017981655E-3</v>
          </cell>
          <cell r="S146">
            <v>15.190356620000001</v>
          </cell>
          <cell r="T146">
            <v>5.3862282511468296E-2</v>
          </cell>
          <cell r="U146">
            <v>1.0840303</v>
          </cell>
          <cell r="V146">
            <v>3.7751209999999999</v>
          </cell>
        </row>
        <row r="147">
          <cell r="C147">
            <v>0.90551050000000011</v>
          </cell>
          <cell r="G147">
            <v>9.0846500600000012E-3</v>
          </cell>
          <cell r="S147">
            <v>15.140284110000001</v>
          </cell>
          <cell r="T147">
            <v>5.42794392821596E-2</v>
          </cell>
          <cell r="U147">
            <v>1.1270126</v>
          </cell>
          <cell r="V147">
            <v>3.7291558</v>
          </cell>
        </row>
        <row r="148">
          <cell r="C148">
            <v>0.95558301000000023</v>
          </cell>
          <cell r="G148">
            <v>9.1513364300000004E-3</v>
          </cell>
          <cell r="S148">
            <v>15.090211610000001</v>
          </cell>
          <cell r="T148">
            <v>5.4693226298697835E-2</v>
          </cell>
          <cell r="U148">
            <v>1.1699951</v>
          </cell>
          <cell r="V148">
            <v>3.68275</v>
          </cell>
        </row>
        <row r="149">
          <cell r="C149">
            <v>1.0056555199999999</v>
          </cell>
          <cell r="G149">
            <v>9.2180404000000004E-3</v>
          </cell>
          <cell r="S149">
            <v>15.040139100000001</v>
          </cell>
          <cell r="T149">
            <v>5.511893870831043E-2</v>
          </cell>
          <cell r="U149">
            <v>1.2129774</v>
          </cell>
          <cell r="V149">
            <v>3.6359537</v>
          </cell>
        </row>
        <row r="150">
          <cell r="C150">
            <v>1.0557280200000001</v>
          </cell>
          <cell r="G150">
            <v>9.2881291749999997E-3</v>
          </cell>
          <cell r="S150">
            <v>14.990066590000001</v>
          </cell>
          <cell r="T150">
            <v>5.5541671777924136E-2</v>
          </cell>
          <cell r="U150">
            <v>1.2559597</v>
          </cell>
          <cell r="V150">
            <v>3.5888146999999999</v>
          </cell>
        </row>
        <row r="151">
          <cell r="C151">
            <v>1.1058005300000002</v>
          </cell>
          <cell r="G151">
            <v>9.3651339300000001E-3</v>
          </cell>
          <cell r="S151">
            <v>14.939994090000003</v>
          </cell>
          <cell r="T151">
            <v>5.5974279405750393E-2</v>
          </cell>
          <cell r="U151">
            <v>1.2989421000000001</v>
          </cell>
          <cell r="V151">
            <v>3.5413817999999999</v>
          </cell>
        </row>
        <row r="152">
          <cell r="C152">
            <v>1.1558730399999999</v>
          </cell>
          <cell r="G152">
            <v>9.443610974999999E-3</v>
          </cell>
          <cell r="S152">
            <v>14.889921580000001</v>
          </cell>
          <cell r="T152">
            <v>5.6405691558629061E-2</v>
          </cell>
          <cell r="U152">
            <v>1.3419245</v>
          </cell>
          <cell r="V152">
            <v>3.4937011999999998</v>
          </cell>
        </row>
        <row r="153">
          <cell r="C153">
            <v>1.2059455399999996</v>
          </cell>
          <cell r="G153">
            <v>9.5220925400000007E-3</v>
          </cell>
          <cell r="S153">
            <v>14.839849070000001</v>
          </cell>
          <cell r="T153">
            <v>5.6842805440123371E-2</v>
          </cell>
          <cell r="U153">
            <v>1.3849069000000001</v>
          </cell>
          <cell r="V153">
            <v>3.4458194</v>
          </cell>
        </row>
        <row r="154">
          <cell r="C154">
            <v>1.2560180500000002</v>
          </cell>
          <cell r="G154">
            <v>9.6005785199999999E-3</v>
          </cell>
          <cell r="S154">
            <v>14.789776570000001</v>
          </cell>
          <cell r="T154">
            <v>5.7280950064592787E-2</v>
          </cell>
          <cell r="U154">
            <v>1.4278892999999999</v>
          </cell>
          <cell r="V154">
            <v>3.3977808999999999</v>
          </cell>
        </row>
        <row r="155">
          <cell r="C155">
            <v>1.3060905599999999</v>
          </cell>
          <cell r="G155">
            <v>9.6790687999999993E-3</v>
          </cell>
          <cell r="S155">
            <v>14.739704060000001</v>
          </cell>
          <cell r="T155">
            <v>5.7722569625499431E-2</v>
          </cell>
          <cell r="U155">
            <v>1.4708717</v>
          </cell>
          <cell r="V155">
            <v>3.3496299</v>
          </cell>
        </row>
        <row r="156">
          <cell r="C156">
            <v>1.3561630600000005</v>
          </cell>
          <cell r="G156">
            <v>9.7525844450000003E-3</v>
          </cell>
          <cell r="S156">
            <v>14.689631550000001</v>
          </cell>
          <cell r="T156">
            <v>5.8167445431485117E-2</v>
          </cell>
          <cell r="U156">
            <v>1.5138541000000001</v>
          </cell>
          <cell r="V156">
            <v>3.3014087999999999</v>
          </cell>
        </row>
        <row r="157">
          <cell r="C157">
            <v>1.4062355700000002</v>
          </cell>
          <cell r="G157">
            <v>9.8278857200000003E-3</v>
          </cell>
          <cell r="S157">
            <v>14.639559050000003</v>
          </cell>
          <cell r="T157">
            <v>5.8616802083776502E-2</v>
          </cell>
          <cell r="U157">
            <v>1.5568363999999999</v>
          </cell>
          <cell r="V157">
            <v>3.2531588</v>
          </cell>
        </row>
        <row r="158">
          <cell r="C158">
            <v>1.4563080799999999</v>
          </cell>
          <cell r="G158">
            <v>9.9032007349999993E-3</v>
          </cell>
          <cell r="S158">
            <v>14.589486540000001</v>
          </cell>
          <cell r="T158">
            <v>5.9068406796562091E-2</v>
          </cell>
          <cell r="U158">
            <v>1.5998188</v>
          </cell>
          <cell r="V158">
            <v>3.2049197999999999</v>
          </cell>
        </row>
        <row r="159">
          <cell r="C159">
            <v>1.5063805800000005</v>
          </cell>
          <cell r="G159">
            <v>9.9776886650000014E-3</v>
          </cell>
          <cell r="S159">
            <v>14.539414030000001</v>
          </cell>
          <cell r="T159">
            <v>5.9526985318011441E-2</v>
          </cell>
          <cell r="U159">
            <v>1.6428012000000001</v>
          </cell>
          <cell r="V159">
            <v>3.1567308999999999</v>
          </cell>
        </row>
        <row r="160">
          <cell r="C160">
            <v>1.5564530900000002</v>
          </cell>
          <cell r="G160">
            <v>1.0051262700000001E-2</v>
          </cell>
          <cell r="S160">
            <v>14.489341530000001</v>
          </cell>
          <cell r="T160">
            <v>5.9985723297615437E-2</v>
          </cell>
          <cell r="U160">
            <v>1.6857835999999999</v>
          </cell>
          <cell r="V160">
            <v>3.1086287000000001</v>
          </cell>
        </row>
        <row r="161">
          <cell r="C161">
            <v>1.6065255999999999</v>
          </cell>
          <cell r="G161">
            <v>1.012596935E-2</v>
          </cell>
          <cell r="S161">
            <v>14.439269020000001</v>
          </cell>
          <cell r="T161">
            <v>6.0453486380684332E-2</v>
          </cell>
          <cell r="U161">
            <v>1.728766</v>
          </cell>
          <cell r="V161">
            <v>3.0606494</v>
          </cell>
        </row>
        <row r="162">
          <cell r="C162">
            <v>1.6565981000000005</v>
          </cell>
          <cell r="G162">
            <v>1.0210703749999999E-2</v>
          </cell>
          <cell r="S162">
            <v>14.389196510000001</v>
          </cell>
          <cell r="T162">
            <v>6.0919677599441842E-2</v>
          </cell>
          <cell r="U162">
            <v>1.7717483999999999</v>
          </cell>
          <cell r="V162">
            <v>3.0128268999999999</v>
          </cell>
        </row>
        <row r="163">
          <cell r="C163">
            <v>1.7066706100000002</v>
          </cell>
          <cell r="G163">
            <v>1.0296072600000001E-2</v>
          </cell>
          <cell r="S163">
            <v>14.339124010000003</v>
          </cell>
          <cell r="T163">
            <v>6.1394904849779143E-2</v>
          </cell>
          <cell r="U163">
            <v>1.8147306000000001</v>
          </cell>
          <cell r="V163">
            <v>2.9651947000000001</v>
          </cell>
        </row>
        <row r="164">
          <cell r="C164">
            <v>1.7567431199999999</v>
          </cell>
          <cell r="G164">
            <v>1.03813784E-2</v>
          </cell>
          <cell r="S164">
            <v>14.289051500000001</v>
          </cell>
          <cell r="T164">
            <v>6.1869411605432648E-2</v>
          </cell>
          <cell r="U164">
            <v>1.8577131</v>
          </cell>
          <cell r="V164">
            <v>2.9177835000000001</v>
          </cell>
        </row>
        <row r="165">
          <cell r="C165">
            <v>1.8068156200000005</v>
          </cell>
          <cell r="G165">
            <v>1.0465319300000001E-2</v>
          </cell>
          <cell r="S165">
            <v>14.238978990000001</v>
          </cell>
          <cell r="T165">
            <v>6.2351207887800006E-2</v>
          </cell>
          <cell r="U165">
            <v>1.9006954</v>
          </cell>
          <cell r="V165">
            <v>2.8706236000000001</v>
          </cell>
        </row>
        <row r="166">
          <cell r="C166">
            <v>1.8568881300000002</v>
          </cell>
          <cell r="G166">
            <v>1.0549260750000001E-2</v>
          </cell>
          <cell r="S166">
            <v>14.188906490000001</v>
          </cell>
          <cell r="T166">
            <v>6.2834781326655723E-2</v>
          </cell>
          <cell r="U166">
            <v>1.9436779</v>
          </cell>
          <cell r="V166">
            <v>2.8237429000000001</v>
          </cell>
        </row>
        <row r="167">
          <cell r="C167">
            <v>1.9069606399999999</v>
          </cell>
          <cell r="G167">
            <v>1.0631777849999999E-2</v>
          </cell>
          <cell r="S167">
            <v>14.138833980000001</v>
          </cell>
          <cell r="T167">
            <v>6.3323182306923909E-2</v>
          </cell>
          <cell r="U167">
            <v>1.9866602</v>
          </cell>
          <cell r="V167">
            <v>2.7771685000000002</v>
          </cell>
        </row>
        <row r="168">
          <cell r="C168">
            <v>1.9570331400000005</v>
          </cell>
          <cell r="G168">
            <v>1.07129727E-2</v>
          </cell>
          <cell r="S168">
            <v>14.088761470000001</v>
          </cell>
          <cell r="T168">
            <v>6.381592236892715E-2</v>
          </cell>
          <cell r="U168">
            <v>2.0296425999999999</v>
          </cell>
          <cell r="V168">
            <v>2.7309258000000001</v>
          </cell>
        </row>
        <row r="169">
          <cell r="C169">
            <v>2.0071056500000002</v>
          </cell>
          <cell r="G169">
            <v>1.0794174449999999E-2</v>
          </cell>
          <cell r="S169">
            <v>14.038688970000003</v>
          </cell>
          <cell r="T169">
            <v>6.4312195738920677E-2</v>
          </cell>
          <cell r="U169">
            <v>2.0726249000000001</v>
          </cell>
          <cell r="V169">
            <v>2.6850385999999999</v>
          </cell>
        </row>
        <row r="170">
          <cell r="C170">
            <v>2.0571781599999999</v>
          </cell>
          <cell r="G170">
            <v>1.0879987000000001E-2</v>
          </cell>
          <cell r="S170">
            <v>13.988616460000001</v>
          </cell>
          <cell r="T170">
            <v>6.4813023799652328E-2</v>
          </cell>
          <cell r="U170">
            <v>2.1156074999999999</v>
          </cell>
          <cell r="V170">
            <v>2.6395292000000001</v>
          </cell>
        </row>
        <row r="171">
          <cell r="C171">
            <v>2.1072506600000005</v>
          </cell>
          <cell r="G171">
            <v>1.0967538299999999E-2</v>
          </cell>
          <cell r="S171">
            <v>13.938543950000001</v>
          </cell>
          <cell r="T171">
            <v>6.5316850582094327E-2</v>
          </cell>
        </row>
        <row r="172">
          <cell r="C172">
            <v>2.1573231700000002</v>
          </cell>
          <cell r="G172">
            <v>1.1054961150000001E-2</v>
          </cell>
          <cell r="S172">
            <v>13.888471450000001</v>
          </cell>
          <cell r="T172">
            <v>6.5825610296384576E-2</v>
          </cell>
        </row>
        <row r="173">
          <cell r="C173">
            <v>2.2073956799999999</v>
          </cell>
          <cell r="G173">
            <v>1.113745115E-2</v>
          </cell>
          <cell r="S173">
            <v>13.838398940000001</v>
          </cell>
          <cell r="T173">
            <v>6.6337547274815126E-2</v>
          </cell>
        </row>
        <row r="174">
          <cell r="C174">
            <v>2.2574681800000005</v>
          </cell>
          <cell r="G174">
            <v>1.12194535E-2</v>
          </cell>
          <cell r="S174">
            <v>13.788326430000001</v>
          </cell>
          <cell r="T174">
            <v>6.6854596609596986E-2</v>
          </cell>
        </row>
        <row r="175">
          <cell r="C175">
            <v>2.3075406900000002</v>
          </cell>
          <cell r="G175">
            <v>1.13014576E-2</v>
          </cell>
          <cell r="S175">
            <v>13.738253930000001</v>
          </cell>
          <cell r="T175">
            <v>6.7377566536828359E-2</v>
          </cell>
        </row>
        <row r="176">
          <cell r="C176">
            <v>2.3576131999999999</v>
          </cell>
          <cell r="G176">
            <v>1.1383463349999999E-2</v>
          </cell>
          <cell r="S176">
            <v>13.688181420000001</v>
          </cell>
          <cell r="T176">
            <v>6.7903280012873588E-2</v>
          </cell>
        </row>
        <row r="177">
          <cell r="C177">
            <v>2.4076857000000005</v>
          </cell>
          <cell r="G177">
            <v>1.14654708E-2</v>
          </cell>
          <cell r="S177">
            <v>13.638108910000001</v>
          </cell>
          <cell r="T177">
            <v>6.8437347303340793E-2</v>
          </cell>
        </row>
        <row r="178">
          <cell r="C178">
            <v>2.4577582100000002</v>
          </cell>
          <cell r="G178">
            <v>1.1553584549999999E-2</v>
          </cell>
          <cell r="S178">
            <v>13.588036410000001</v>
          </cell>
          <cell r="T178">
            <v>6.8971729807569937E-2</v>
          </cell>
        </row>
        <row r="179">
          <cell r="C179">
            <v>2.5078307199999998</v>
          </cell>
          <cell r="G179">
            <v>1.16444609E-2</v>
          </cell>
          <cell r="S179">
            <v>13.537963900000001</v>
          </cell>
          <cell r="T179">
            <v>6.9515236478319614E-2</v>
          </cell>
        </row>
        <row r="180">
          <cell r="C180">
            <v>2.5579032200000005</v>
          </cell>
          <cell r="G180">
            <v>1.173534115E-2</v>
          </cell>
          <cell r="S180">
            <v>13.487891390000001</v>
          </cell>
          <cell r="T180">
            <v>7.0059853047050868E-2</v>
          </cell>
        </row>
        <row r="181">
          <cell r="C181">
            <v>2.6079757300000002</v>
          </cell>
          <cell r="G181">
            <v>1.182622515E-2</v>
          </cell>
          <cell r="S181">
            <v>13.437818890000001</v>
          </cell>
          <cell r="T181">
            <v>7.0611268870624605E-2</v>
          </cell>
        </row>
        <row r="182">
          <cell r="C182">
            <v>2.6580482399999998</v>
          </cell>
          <cell r="G182">
            <v>1.19171129E-2</v>
          </cell>
          <cell r="S182">
            <v>13.387746380000001</v>
          </cell>
          <cell r="T182">
            <v>7.1167740794196369E-2</v>
          </cell>
        </row>
        <row r="183">
          <cell r="C183">
            <v>2.7081207400000005</v>
          </cell>
          <cell r="G183">
            <v>1.2007137500000001E-2</v>
          </cell>
          <cell r="S183">
            <v>13.337673870000001</v>
          </cell>
          <cell r="T183">
            <v>7.1727068227430579E-2</v>
          </cell>
        </row>
        <row r="184">
          <cell r="C184">
            <v>2.7581932500000002</v>
          </cell>
          <cell r="G184">
            <v>1.2097267299999999E-2</v>
          </cell>
          <cell r="S184">
            <v>13.287601370000001</v>
          </cell>
          <cell r="T184">
            <v>7.2296054865135684E-2</v>
          </cell>
        </row>
        <row r="185">
          <cell r="C185">
            <v>2.8082657599999998</v>
          </cell>
          <cell r="G185">
            <v>1.2187741199999999E-2</v>
          </cell>
          <cell r="S185">
            <v>13.237528860000001</v>
          </cell>
          <cell r="T185">
            <v>7.2866669321030531E-2</v>
          </cell>
        </row>
        <row r="186">
          <cell r="C186">
            <v>2.8583382600000005</v>
          </cell>
          <cell r="G186">
            <v>1.2278224250000001E-2</v>
          </cell>
          <cell r="S186">
            <v>13.187456350000001</v>
          </cell>
          <cell r="T186">
            <v>7.3445840319384531E-2</v>
          </cell>
        </row>
        <row r="187">
          <cell r="C187">
            <v>2.9084107700000001</v>
          </cell>
          <cell r="G187">
            <v>1.236871625E-2</v>
          </cell>
          <cell r="S187">
            <v>13.137383850000001</v>
          </cell>
          <cell r="T187">
            <v>7.4027671336825016E-2</v>
          </cell>
        </row>
        <row r="188">
          <cell r="C188">
            <v>2.9584832799999998</v>
          </cell>
          <cell r="G188">
            <v>1.2461323600000001E-2</v>
          </cell>
          <cell r="S188">
            <v>13.087311340000001</v>
          </cell>
          <cell r="T188">
            <v>7.461571233192392E-2</v>
          </cell>
        </row>
        <row r="189">
          <cell r="C189">
            <v>3.0085557800000005</v>
          </cell>
          <cell r="G189">
            <v>1.2559384749999999E-2</v>
          </cell>
          <cell r="S189">
            <v>13.037238830000001</v>
          </cell>
          <cell r="T189">
            <v>7.5207887632599044E-2</v>
          </cell>
        </row>
        <row r="190">
          <cell r="C190">
            <v>3.0586282900000001</v>
          </cell>
          <cell r="G190">
            <v>1.266593915E-2</v>
          </cell>
          <cell r="S190">
            <v>12.987166330000001</v>
          </cell>
          <cell r="T190">
            <v>7.5803987546829571E-2</v>
          </cell>
        </row>
        <row r="191">
          <cell r="C191">
            <v>3.1087007999999998</v>
          </cell>
          <cell r="G191">
            <v>1.2772495049999999E-2</v>
          </cell>
          <cell r="S191">
            <v>12.937093820000001</v>
          </cell>
          <cell r="T191">
            <v>7.6405107228913027E-2</v>
          </cell>
        </row>
        <row r="192">
          <cell r="C192">
            <v>3.1587733000000005</v>
          </cell>
          <cell r="G192">
            <v>1.2879052450000001E-2</v>
          </cell>
          <cell r="S192">
            <v>12.887021310000002</v>
          </cell>
          <cell r="T192">
            <v>7.7010630644126721E-2</v>
          </cell>
        </row>
        <row r="193">
          <cell r="C193">
            <v>3.2088458100000001</v>
          </cell>
          <cell r="G193">
            <v>1.2985611349999999E-2</v>
          </cell>
          <cell r="S193">
            <v>12.836948810000001</v>
          </cell>
          <cell r="T193">
            <v>7.7621634566821182E-2</v>
          </cell>
        </row>
        <row r="194">
          <cell r="C194">
            <v>3.2589183199999998</v>
          </cell>
          <cell r="G194">
            <v>1.309017625E-2</v>
          </cell>
          <cell r="S194">
            <v>12.786876300000001</v>
          </cell>
          <cell r="T194">
            <v>7.8242807873459178E-2</v>
          </cell>
        </row>
        <row r="195">
          <cell r="C195">
            <v>3.3089908200000004</v>
          </cell>
          <cell r="G195">
            <v>1.319201675E-2</v>
          </cell>
          <cell r="S195">
            <v>12.736803790000002</v>
          </cell>
          <cell r="T195">
            <v>7.8865367663508726E-2</v>
          </cell>
        </row>
        <row r="196">
          <cell r="C196">
            <v>3.3590633300000001</v>
          </cell>
          <cell r="G196">
            <v>1.3290333750000001E-2</v>
          </cell>
          <cell r="S196">
            <v>12.686731290000001</v>
          </cell>
          <cell r="T196">
            <v>7.9497751263566035E-2</v>
          </cell>
        </row>
        <row r="197">
          <cell r="C197">
            <v>3.4091358399999998</v>
          </cell>
          <cell r="G197">
            <v>1.338865415E-2</v>
          </cell>
          <cell r="S197">
            <v>12.636658780000001</v>
          </cell>
          <cell r="T197">
            <v>8.0134598100172483E-2</v>
          </cell>
        </row>
        <row r="198">
          <cell r="C198">
            <v>3.4592083400000004</v>
          </cell>
          <cell r="G198">
            <v>1.34869781E-2</v>
          </cell>
          <cell r="S198">
            <v>12.586586270000002</v>
          </cell>
          <cell r="T198">
            <v>8.0777420652506399E-2</v>
          </cell>
        </row>
        <row r="199">
          <cell r="C199">
            <v>3.5092808500000001</v>
          </cell>
          <cell r="G199">
            <v>1.359009265E-2</v>
          </cell>
          <cell r="S199">
            <v>12.536513770000001</v>
          </cell>
          <cell r="T199">
            <v>8.1431260067168748E-2</v>
          </cell>
        </row>
        <row r="200">
          <cell r="C200">
            <v>3.5593533499999999</v>
          </cell>
          <cell r="G200">
            <v>1.3695392299999999E-2</v>
          </cell>
          <cell r="S200">
            <v>12.486441260000001</v>
          </cell>
          <cell r="T200">
            <v>8.2084285294007409E-2</v>
          </cell>
        </row>
        <row r="201">
          <cell r="C201">
            <v>3.6094258600000004</v>
          </cell>
          <cell r="G201">
            <v>1.3806145549999999E-2</v>
          </cell>
          <cell r="S201">
            <v>12.436368750000002</v>
          </cell>
          <cell r="T201">
            <v>8.2753506454757084E-2</v>
          </cell>
        </row>
        <row r="202">
          <cell r="C202">
            <v>3.6594983700000001</v>
          </cell>
          <cell r="G202">
            <v>1.3918120700000002E-2</v>
          </cell>
          <cell r="S202">
            <v>12.386296250000001</v>
          </cell>
          <cell r="T202">
            <v>8.3416895394649457E-2</v>
          </cell>
        </row>
        <row r="203">
          <cell r="C203">
            <v>3.7095708699999999</v>
          </cell>
          <cell r="G203">
            <v>1.40301053E-2</v>
          </cell>
          <cell r="S203">
            <v>12.336223740000001</v>
          </cell>
          <cell r="T203">
            <v>8.4096794694082821E-2</v>
          </cell>
        </row>
        <row r="204">
          <cell r="C204">
            <v>3.7596433800000004</v>
          </cell>
          <cell r="G204">
            <v>1.41397882E-2</v>
          </cell>
          <cell r="S204">
            <v>12.286151230000002</v>
          </cell>
          <cell r="T204">
            <v>8.4770560907023923E-2</v>
          </cell>
        </row>
        <row r="205">
          <cell r="C205">
            <v>3.8097158900000001</v>
          </cell>
          <cell r="G205">
            <v>1.4245752800000001E-2</v>
          </cell>
          <cell r="S205">
            <v>12.236078730000001</v>
          </cell>
          <cell r="T205">
            <v>8.5460994840847362E-2</v>
          </cell>
        </row>
        <row r="206">
          <cell r="C206">
            <v>3.8597883899999998</v>
          </cell>
          <cell r="G206">
            <v>1.435091195E-2</v>
          </cell>
          <cell r="S206">
            <v>12.186006220000001</v>
          </cell>
          <cell r="T206">
            <v>8.614811734040341E-2</v>
          </cell>
        </row>
        <row r="207">
          <cell r="C207">
            <v>3.9098609000000004</v>
          </cell>
          <cell r="G207">
            <v>1.4452852400000001E-2</v>
          </cell>
          <cell r="S207">
            <v>12.135933710000002</v>
          </cell>
          <cell r="T207">
            <v>8.6851257841478971E-2</v>
          </cell>
        </row>
        <row r="208">
          <cell r="C208">
            <v>3.9599334100000001</v>
          </cell>
          <cell r="G208">
            <v>1.4554796849999999E-2</v>
          </cell>
          <cell r="S208">
            <v>12.085861210000001</v>
          </cell>
          <cell r="T208">
            <v>8.7553736103950563E-2</v>
          </cell>
        </row>
        <row r="209">
          <cell r="C209">
            <v>4.0100059100000003</v>
          </cell>
          <cell r="G209">
            <v>1.4657357650000001E-2</v>
          </cell>
          <cell r="S209">
            <v>12.035788700000001</v>
          </cell>
          <cell r="T209">
            <v>8.8271879038227072E-2</v>
          </cell>
        </row>
        <row r="210">
          <cell r="C210">
            <v>4.06007842</v>
          </cell>
          <cell r="G210">
            <v>1.4767148899999999E-2</v>
          </cell>
          <cell r="S210">
            <v>11.985716190000002</v>
          </cell>
          <cell r="T210">
            <v>8.8989639173132989E-2</v>
          </cell>
        </row>
        <row r="211">
          <cell r="C211">
            <v>4.1101509299999996</v>
          </cell>
          <cell r="G211">
            <v>1.4876940450000001E-2</v>
          </cell>
          <cell r="S211">
            <v>11.935643690000001</v>
          </cell>
          <cell r="T211">
            <v>8.9722789818038232E-2</v>
          </cell>
        </row>
        <row r="212">
          <cell r="C212">
            <v>4.1602234300000003</v>
          </cell>
          <cell r="G212">
            <v>1.4988061949999999E-2</v>
          </cell>
          <cell r="S212">
            <v>11.885571180000001</v>
          </cell>
          <cell r="T212">
            <v>9.0451276973464154E-2</v>
          </cell>
        </row>
        <row r="213">
          <cell r="C213">
            <v>4.21029594</v>
          </cell>
          <cell r="G213">
            <v>1.5100129449999999E-2</v>
          </cell>
          <cell r="S213">
            <v>11.835498700000002</v>
          </cell>
          <cell r="T213">
            <v>9.1198803594056979E-2</v>
          </cell>
        </row>
        <row r="214">
          <cell r="C214">
            <v>4.2603684499999996</v>
          </cell>
          <cell r="G214">
            <v>1.5212198600000001E-2</v>
          </cell>
          <cell r="S214">
            <v>11.785426200000002</v>
          </cell>
          <cell r="T214">
            <v>9.1937736366841813E-2</v>
          </cell>
        </row>
        <row r="215">
          <cell r="C215">
            <v>4.3104409500000003</v>
          </cell>
          <cell r="G215">
            <v>1.5319134599999999E-2</v>
          </cell>
          <cell r="S215">
            <v>11.735353700000001</v>
          </cell>
          <cell r="T215">
            <v>9.2699127750320201E-2</v>
          </cell>
        </row>
        <row r="216">
          <cell r="C216">
            <v>4.36051346</v>
          </cell>
          <cell r="G216">
            <v>1.54245696E-2</v>
          </cell>
          <cell r="S216">
            <v>11.685281200000002</v>
          </cell>
          <cell r="T216">
            <v>9.3450695982885162E-2</v>
          </cell>
        </row>
        <row r="217">
          <cell r="C217">
            <v>4.4105859699999996</v>
          </cell>
          <cell r="G217">
            <v>1.55300076E-2</v>
          </cell>
          <cell r="S217">
            <v>11.635208600000002</v>
          </cell>
          <cell r="T217">
            <v>9.4225955778724585E-2</v>
          </cell>
        </row>
        <row r="218">
          <cell r="C218">
            <v>4.4606584700000003</v>
          </cell>
          <cell r="G218">
            <v>1.5649858699999998E-2</v>
          </cell>
          <cell r="S218">
            <v>11.585136100000001</v>
          </cell>
          <cell r="T218">
            <v>9.4995756428558495E-2</v>
          </cell>
        </row>
        <row r="219">
          <cell r="C219">
            <v>4.5107309799999999</v>
          </cell>
          <cell r="G219">
            <v>1.57701882E-2</v>
          </cell>
          <cell r="S219">
            <v>11.535063600000001</v>
          </cell>
          <cell r="T219">
            <v>9.5783500507584038E-2</v>
          </cell>
        </row>
        <row r="220">
          <cell r="C220">
            <v>4.5608034899999996</v>
          </cell>
          <cell r="G220">
            <v>1.5899517849999999E-2</v>
          </cell>
          <cell r="S220">
            <v>11.484991100000002</v>
          </cell>
          <cell r="T220">
            <v>9.6571542356628279E-2</v>
          </cell>
        </row>
        <row r="221">
          <cell r="C221">
            <v>4.6108759900000003</v>
          </cell>
          <cell r="G221">
            <v>1.6039047799999998E-2</v>
          </cell>
          <cell r="S221">
            <v>11.434918600000001</v>
          </cell>
          <cell r="T221">
            <v>9.7369947662715783E-2</v>
          </cell>
        </row>
        <row r="222">
          <cell r="C222">
            <v>4.6609484999999999</v>
          </cell>
          <cell r="G222">
            <v>1.6178579950000001E-2</v>
          </cell>
          <cell r="S222">
            <v>11.384846100000001</v>
          </cell>
          <cell r="T222">
            <v>9.8170840897223194E-2</v>
          </cell>
        </row>
        <row r="223">
          <cell r="C223">
            <v>4.7110210099999996</v>
          </cell>
          <cell r="G223">
            <v>1.6315378950000001E-2</v>
          </cell>
          <cell r="S223">
            <v>11.334773600000002</v>
          </cell>
          <cell r="T223">
            <v>9.8981098155236147E-2</v>
          </cell>
        </row>
        <row r="224">
          <cell r="C224">
            <v>4.7610935100000003</v>
          </cell>
          <cell r="G224">
            <v>1.644713095E-2</v>
          </cell>
          <cell r="S224">
            <v>11.284701100000001</v>
          </cell>
          <cell r="T224">
            <v>9.9792297639143199E-2</v>
          </cell>
        </row>
        <row r="225">
          <cell r="C225">
            <v>4.8111660199999999</v>
          </cell>
          <cell r="G225">
            <v>1.6577809499999999E-2</v>
          </cell>
          <cell r="S225">
            <v>11.234628600000001</v>
          </cell>
          <cell r="T225">
            <v>0.10062157103184999</v>
          </cell>
        </row>
        <row r="226">
          <cell r="C226">
            <v>4.8612385299999996</v>
          </cell>
          <cell r="G226">
            <v>1.6703007800000003E-2</v>
          </cell>
          <cell r="S226">
            <v>11.184556100000002</v>
          </cell>
          <cell r="T226">
            <v>0.10144321070790829</v>
          </cell>
        </row>
        <row r="227">
          <cell r="C227">
            <v>4.9113110300000002</v>
          </cell>
          <cell r="G227">
            <v>1.6828206649999997E-2</v>
          </cell>
          <cell r="S227">
            <v>11.134483600000001</v>
          </cell>
          <cell r="T227">
            <v>0.10229211049678398</v>
          </cell>
        </row>
        <row r="228">
          <cell r="C228">
            <v>4.9613835399999999</v>
          </cell>
          <cell r="G228">
            <v>1.6953406099999999E-2</v>
          </cell>
          <cell r="S228">
            <v>11.084411100000002</v>
          </cell>
          <cell r="T228">
            <v>0.10313692243217785</v>
          </cell>
        </row>
        <row r="229">
          <cell r="C229">
            <v>5.0114560499999996</v>
          </cell>
          <cell r="G229">
            <v>1.7087756199999998E-2</v>
          </cell>
          <cell r="S229">
            <v>11.034338600000002</v>
          </cell>
          <cell r="T229">
            <v>0.10400591824866402</v>
          </cell>
        </row>
        <row r="230">
          <cell r="C230">
            <v>5.0615285500000002</v>
          </cell>
          <cell r="G230">
            <v>1.7225412950000001E-2</v>
          </cell>
          <cell r="S230">
            <v>10.984266100000001</v>
          </cell>
          <cell r="T230">
            <v>0.1048745250419148</v>
          </cell>
        </row>
        <row r="231">
          <cell r="C231">
            <v>5.1116010599999999</v>
          </cell>
          <cell r="G231">
            <v>1.736769745E-2</v>
          </cell>
          <cell r="S231">
            <v>10.934193600000002</v>
          </cell>
          <cell r="T231">
            <v>0.10576186866798763</v>
          </cell>
        </row>
        <row r="232">
          <cell r="C232">
            <v>5.1616735699999996</v>
          </cell>
          <cell r="G232">
            <v>1.7510744299999999E-2</v>
          </cell>
          <cell r="S232">
            <v>10.884121000000002</v>
          </cell>
          <cell r="T232">
            <v>0.10665197686549024</v>
          </cell>
        </row>
        <row r="233">
          <cell r="C233">
            <v>5.2117460700000002</v>
          </cell>
          <cell r="G233">
            <v>1.765379705E-2</v>
          </cell>
          <cell r="S233">
            <v>10.834048500000002</v>
          </cell>
          <cell r="T233">
            <v>0.10755727668022833</v>
          </cell>
        </row>
        <row r="234">
          <cell r="C234">
            <v>5.2618185799999999</v>
          </cell>
          <cell r="G234">
            <v>1.7796536699999997E-2</v>
          </cell>
          <cell r="S234">
            <v>10.783976000000001</v>
          </cell>
          <cell r="T234">
            <v>0.10846399916180564</v>
          </cell>
        </row>
        <row r="235">
          <cell r="C235">
            <v>5.3118910899999996</v>
          </cell>
          <cell r="G235">
            <v>1.79369027E-2</v>
          </cell>
          <cell r="S235">
            <v>10.733903500000002</v>
          </cell>
          <cell r="T235">
            <v>0.10938966820198122</v>
          </cell>
        </row>
        <row r="236">
          <cell r="C236">
            <v>5.3619635900000002</v>
          </cell>
          <cell r="G236">
            <v>1.8082105549999998E-2</v>
          </cell>
          <cell r="S236">
            <v>10.683831000000001</v>
          </cell>
          <cell r="T236">
            <v>0.11031300572365439</v>
          </cell>
        </row>
        <row r="237">
          <cell r="C237">
            <v>5.4120360999999999</v>
          </cell>
          <cell r="G237">
            <v>1.8231192399999999E-2</v>
          </cell>
          <cell r="S237">
            <v>10.633758500000001</v>
          </cell>
          <cell r="T237">
            <v>0.11126158974291304</v>
          </cell>
        </row>
        <row r="238">
          <cell r="C238">
            <v>5.4621086099999996</v>
          </cell>
          <cell r="G238">
            <v>1.8380281950000001E-2</v>
          </cell>
          <cell r="S238">
            <v>10.583686000000002</v>
          </cell>
          <cell r="T238">
            <v>0.11220581331602314</v>
          </cell>
        </row>
        <row r="239">
          <cell r="C239">
            <v>5.5121811100000002</v>
          </cell>
          <cell r="G239">
            <v>1.8529374099999999E-2</v>
          </cell>
          <cell r="S239">
            <v>10.533613500000001</v>
          </cell>
          <cell r="T239">
            <v>0.11317732160502306</v>
          </cell>
        </row>
        <row r="240">
          <cell r="C240">
            <v>5.5622536199999999</v>
          </cell>
          <cell r="G240">
            <v>1.868060635E-2</v>
          </cell>
          <cell r="S240">
            <v>10.483541000000001</v>
          </cell>
          <cell r="T240">
            <v>0.11414523488857127</v>
          </cell>
        </row>
        <row r="241">
          <cell r="C241">
            <v>5.6123261299999996</v>
          </cell>
          <cell r="G241">
            <v>1.8832701649999999E-2</v>
          </cell>
          <cell r="S241">
            <v>10.433468500000002</v>
          </cell>
          <cell r="T241">
            <v>0.11513774522325136</v>
          </cell>
        </row>
        <row r="242">
          <cell r="C242">
            <v>5.6623986300000002</v>
          </cell>
          <cell r="G242">
            <v>1.8981005549999999E-2</v>
          </cell>
          <cell r="S242">
            <v>10.383396000000001</v>
          </cell>
          <cell r="T242">
            <v>0.11612951708211737</v>
          </cell>
        </row>
        <row r="243">
          <cell r="C243">
            <v>5.7124711399999999</v>
          </cell>
          <cell r="G243">
            <v>1.9129310949999999E-2</v>
          </cell>
          <cell r="S243">
            <v>10.333323500000001</v>
          </cell>
          <cell r="T243">
            <v>0.11714169831629247</v>
          </cell>
        </row>
        <row r="244">
          <cell r="C244">
            <v>5.7625436499999996</v>
          </cell>
          <cell r="G244">
            <v>1.927761775E-2</v>
          </cell>
          <cell r="S244">
            <v>10.283251000000002</v>
          </cell>
          <cell r="T244">
            <v>0.11815122006950107</v>
          </cell>
        </row>
        <row r="245">
          <cell r="C245">
            <v>5.8126161500000002</v>
          </cell>
          <cell r="G245">
            <v>1.9425925949999999E-2</v>
          </cell>
          <cell r="S245">
            <v>10.233178500000001</v>
          </cell>
          <cell r="T245">
            <v>0.11918308275802679</v>
          </cell>
        </row>
        <row r="246">
          <cell r="C246">
            <v>5.8626886599999999</v>
          </cell>
          <cell r="G246">
            <v>1.95861983E-2</v>
          </cell>
          <cell r="S246">
            <v>10.183106000000002</v>
          </cell>
          <cell r="T246">
            <v>0.120210309576549</v>
          </cell>
        </row>
        <row r="247">
          <cell r="C247">
            <v>5.9127611699999996</v>
          </cell>
          <cell r="G247">
            <v>1.9750354900000003E-2</v>
          </cell>
          <cell r="S247">
            <v>10.133033400000002</v>
          </cell>
          <cell r="T247">
            <v>0.12126233015487269</v>
          </cell>
        </row>
        <row r="248">
          <cell r="C248">
            <v>5.9628336700000002</v>
          </cell>
          <cell r="G248">
            <v>1.9914670750000002E-2</v>
          </cell>
          <cell r="S248">
            <v>10.082960900000002</v>
          </cell>
          <cell r="T248">
            <v>0.1223105830641379</v>
          </cell>
        </row>
        <row r="249">
          <cell r="C249">
            <v>6.0129061799999999</v>
          </cell>
          <cell r="G249">
            <v>2.0079011350000002E-2</v>
          </cell>
          <cell r="S249">
            <v>10.032888400000001</v>
          </cell>
          <cell r="T249">
            <v>0.12338109419901599</v>
          </cell>
        </row>
        <row r="250">
          <cell r="C250">
            <v>6.0629786899999996</v>
          </cell>
          <cell r="G250">
            <v>2.0243376E-2</v>
          </cell>
          <cell r="S250">
            <v>9.9828159000000021</v>
          </cell>
          <cell r="T250">
            <v>0.1244570475833946</v>
          </cell>
        </row>
        <row r="251">
          <cell r="C251">
            <v>6.1130511900000002</v>
          </cell>
          <cell r="G251">
            <v>2.0405000100000001E-2</v>
          </cell>
          <cell r="S251">
            <v>9.9327434000000014</v>
          </cell>
          <cell r="T251">
            <v>0.1255471231687694</v>
          </cell>
        </row>
        <row r="252">
          <cell r="C252">
            <v>6.1631236999999999</v>
          </cell>
          <cell r="G252">
            <v>2.0568431200000001E-2</v>
          </cell>
          <cell r="S252">
            <v>9.8826709000000008</v>
          </cell>
          <cell r="T252">
            <v>0.12665079206400964</v>
          </cell>
        </row>
        <row r="253">
          <cell r="C253">
            <v>6.2131962099999996</v>
          </cell>
          <cell r="G253">
            <v>2.0737118999999998E-2</v>
          </cell>
          <cell r="S253">
            <v>9.832598400000002</v>
          </cell>
          <cell r="T253">
            <v>0.12776947093233895</v>
          </cell>
        </row>
        <row r="254">
          <cell r="C254">
            <v>6.2632687100000002</v>
          </cell>
          <cell r="G254">
            <v>2.0905833450000001E-2</v>
          </cell>
          <cell r="S254">
            <v>9.7825259000000013</v>
          </cell>
          <cell r="T254">
            <v>0.12889497083285123</v>
          </cell>
        </row>
        <row r="255">
          <cell r="C255">
            <v>6.3133412199999999</v>
          </cell>
          <cell r="G255">
            <v>2.1083217849999999E-2</v>
          </cell>
          <cell r="S255">
            <v>9.7324534000000007</v>
          </cell>
          <cell r="T255">
            <v>0.13004317847203717</v>
          </cell>
        </row>
        <row r="256">
          <cell r="C256">
            <v>6.3634137299999995</v>
          </cell>
          <cell r="G256">
            <v>2.126072205E-2</v>
          </cell>
          <cell r="S256">
            <v>9.6823809000000018</v>
          </cell>
          <cell r="T256">
            <v>0.13118747103776504</v>
          </cell>
        </row>
        <row r="257">
          <cell r="C257">
            <v>6.4134862300000002</v>
          </cell>
          <cell r="G257">
            <v>2.144536E-2</v>
          </cell>
          <cell r="S257">
            <v>9.6323084000000012</v>
          </cell>
          <cell r="T257">
            <v>0.13236520776385699</v>
          </cell>
        </row>
        <row r="258">
          <cell r="C258">
            <v>6.4635587399999999</v>
          </cell>
          <cell r="G258">
            <v>2.1627616549999999E-2</v>
          </cell>
          <cell r="S258">
            <v>9.5822359000000006</v>
          </cell>
          <cell r="T258">
            <v>0.13352820187308567</v>
          </cell>
        </row>
        <row r="259">
          <cell r="C259">
            <v>6.5136312499999995</v>
          </cell>
          <cell r="G259">
            <v>2.1809904999999997E-2</v>
          </cell>
          <cell r="S259">
            <v>9.5321634000000017</v>
          </cell>
          <cell r="T259">
            <v>0.13473200547877667</v>
          </cell>
        </row>
        <row r="260">
          <cell r="C260">
            <v>6.5637037500000002</v>
          </cell>
          <cell r="G260">
            <v>2.1982410600000002E-2</v>
          </cell>
          <cell r="S260">
            <v>9.4820909000000011</v>
          </cell>
          <cell r="T260">
            <v>0.13592862079724091</v>
          </cell>
        </row>
        <row r="261">
          <cell r="C261">
            <v>6.6137762599999999</v>
          </cell>
          <cell r="G261">
            <v>2.21519204E-2</v>
          </cell>
          <cell r="S261">
            <v>9.4320184000000022</v>
          </cell>
          <cell r="T261">
            <v>0.1371584545909906</v>
          </cell>
        </row>
        <row r="262">
          <cell r="C262">
            <v>6.6638487699999995</v>
          </cell>
          <cell r="G262">
            <v>2.2321581050000001E-2</v>
          </cell>
          <cell r="S262">
            <v>9.3819458000000022</v>
          </cell>
          <cell r="T262">
            <v>0.13839005703113919</v>
          </cell>
        </row>
        <row r="263">
          <cell r="C263">
            <v>6.7139212700000002</v>
          </cell>
          <cell r="G263">
            <v>2.2494314850000002E-2</v>
          </cell>
          <cell r="S263">
            <v>9.3318733000000016</v>
          </cell>
          <cell r="T263">
            <v>0.13964807927816608</v>
          </cell>
        </row>
        <row r="264">
          <cell r="C264">
            <v>6.7639937799999998</v>
          </cell>
          <cell r="G264">
            <v>2.2667061650000001E-2</v>
          </cell>
          <cell r="S264">
            <v>9.281800800000001</v>
          </cell>
          <cell r="T264">
            <v>0.14091519417186579</v>
          </cell>
        </row>
        <row r="265">
          <cell r="C265">
            <v>6.8140662899999995</v>
          </cell>
          <cell r="G265">
            <v>2.285486695E-2</v>
          </cell>
          <cell r="S265">
            <v>9.2317283000000021</v>
          </cell>
          <cell r="T265">
            <v>0.14220290072180777</v>
          </cell>
        </row>
        <row r="266">
          <cell r="C266">
            <v>6.8641387900000002</v>
          </cell>
          <cell r="G266">
            <v>2.30727017E-2</v>
          </cell>
          <cell r="S266">
            <v>9.1816558000000015</v>
          </cell>
          <cell r="T266">
            <v>0.14350483458599603</v>
          </cell>
        </row>
        <row r="267">
          <cell r="C267">
            <v>6.9142112999999998</v>
          </cell>
          <cell r="G267">
            <v>2.3290554349999999E-2</v>
          </cell>
          <cell r="S267">
            <v>9.1315833000000008</v>
          </cell>
          <cell r="T267">
            <v>0.14482029458008522</v>
          </cell>
        </row>
        <row r="268">
          <cell r="C268">
            <v>6.9642838099999995</v>
          </cell>
          <cell r="G268">
            <v>2.349496165E-2</v>
          </cell>
          <cell r="S268">
            <v>9.081510800000002</v>
          </cell>
          <cell r="T268">
            <v>0.14615082661887724</v>
          </cell>
        </row>
        <row r="269">
          <cell r="C269">
            <v>7.0143563100000001</v>
          </cell>
          <cell r="G269">
            <v>2.3698060399999998E-2</v>
          </cell>
          <cell r="S269">
            <v>9.0314383000000014</v>
          </cell>
          <cell r="T269">
            <v>0.14750085798695006</v>
          </cell>
        </row>
        <row r="270">
          <cell r="C270">
            <v>7.0644288199999998</v>
          </cell>
          <cell r="G270">
            <v>2.3901180250000001E-2</v>
          </cell>
          <cell r="S270">
            <v>8.9813658000000007</v>
          </cell>
          <cell r="T270">
            <v>0.14886332358412852</v>
          </cell>
        </row>
        <row r="271">
          <cell r="C271">
            <v>7.1145012999999988</v>
          </cell>
          <cell r="G271">
            <v>2.411156045E-2</v>
          </cell>
          <cell r="S271">
            <v>8.9312933000000019</v>
          </cell>
          <cell r="T271">
            <v>0.1502500625752867</v>
          </cell>
        </row>
        <row r="272">
          <cell r="C272">
            <v>7.1645737999999994</v>
          </cell>
          <cell r="G272">
            <v>2.4326632000000001E-2</v>
          </cell>
          <cell r="S272">
            <v>8.8812208000000012</v>
          </cell>
          <cell r="T272">
            <v>0.15164472224363681</v>
          </cell>
        </row>
        <row r="273">
          <cell r="C273">
            <v>7.2146463000000001</v>
          </cell>
          <cell r="G273">
            <v>2.45445514E-2</v>
          </cell>
          <cell r="S273">
            <v>8.8311483000000006</v>
          </cell>
          <cell r="T273">
            <v>0.15306627245445456</v>
          </cell>
        </row>
        <row r="274">
          <cell r="C274">
            <v>7.2647187999999989</v>
          </cell>
          <cell r="G274">
            <v>2.47480159E-2</v>
          </cell>
          <cell r="S274">
            <v>8.7810758000000018</v>
          </cell>
          <cell r="T274">
            <v>0.15449349749107391</v>
          </cell>
        </row>
        <row r="275">
          <cell r="C275">
            <v>7.3147913999999989</v>
          </cell>
          <cell r="G275">
            <v>2.49469935E-2</v>
          </cell>
          <cell r="S275">
            <v>8.7310033000000011</v>
          </cell>
          <cell r="T275">
            <v>0.15594285390839047</v>
          </cell>
        </row>
        <row r="276">
          <cell r="C276">
            <v>7.3648638999999996</v>
          </cell>
          <cell r="G276">
            <v>2.5146011150000001E-2</v>
          </cell>
          <cell r="S276">
            <v>8.6809308000000023</v>
          </cell>
          <cell r="T276">
            <v>0.15740889839828626</v>
          </cell>
        </row>
        <row r="277">
          <cell r="C277">
            <v>7.4149364000000002</v>
          </cell>
          <cell r="G277">
            <v>2.5345067800000003E-2</v>
          </cell>
          <cell r="S277">
            <v>8.6308583000000016</v>
          </cell>
          <cell r="T277">
            <v>0.15888835282711447</v>
          </cell>
        </row>
        <row r="278">
          <cell r="C278">
            <v>7.4650088999999991</v>
          </cell>
          <cell r="G278">
            <v>2.55458608E-2</v>
          </cell>
          <cell r="S278">
            <v>8.5807857000000016</v>
          </cell>
          <cell r="T278">
            <v>0.16039324445880462</v>
          </cell>
        </row>
        <row r="279">
          <cell r="C279">
            <v>7.5150813999999997</v>
          </cell>
          <cell r="G279">
            <v>2.5762183399999999E-2</v>
          </cell>
          <cell r="S279">
            <v>8.530713200000001</v>
          </cell>
          <cell r="T279">
            <v>0.16190480329966964</v>
          </cell>
        </row>
        <row r="280">
          <cell r="C280">
            <v>7.5651539000000003</v>
          </cell>
          <cell r="G280">
            <v>2.599047095E-2</v>
          </cell>
          <cell r="S280">
            <v>8.4806407000000021</v>
          </cell>
          <cell r="T280">
            <v>0.16345299975518462</v>
          </cell>
        </row>
        <row r="281">
          <cell r="C281">
            <v>7.6152263999999992</v>
          </cell>
          <cell r="G281">
            <v>2.6218774600000001E-2</v>
          </cell>
          <cell r="S281">
            <v>8.4305682000000015</v>
          </cell>
          <cell r="T281">
            <v>0.16501563230784483</v>
          </cell>
        </row>
        <row r="282">
          <cell r="C282">
            <v>7.6652988999999998</v>
          </cell>
          <cell r="G282">
            <v>2.6447094099999999E-2</v>
          </cell>
          <cell r="S282">
            <v>8.3804957000000009</v>
          </cell>
          <cell r="T282">
            <v>0.16661289321017986</v>
          </cell>
        </row>
        <row r="283">
          <cell r="C283">
            <v>7.7153714000000004</v>
          </cell>
          <cell r="G283">
            <v>2.6675428899999999E-2</v>
          </cell>
          <cell r="S283">
            <v>8.330423200000002</v>
          </cell>
          <cell r="T283">
            <v>0.16821921406924964</v>
          </cell>
        </row>
        <row r="284">
          <cell r="C284">
            <v>7.7654438999999993</v>
          </cell>
          <cell r="G284">
            <v>2.6893650700000001E-2</v>
          </cell>
          <cell r="S284">
            <v>8.2803507000000014</v>
          </cell>
          <cell r="T284">
            <v>0.16985336311747384</v>
          </cell>
        </row>
        <row r="285">
          <cell r="C285">
            <v>7.8155163999999999</v>
          </cell>
          <cell r="G285">
            <v>2.71080956E-2</v>
          </cell>
          <cell r="S285">
            <v>8.2302782000000008</v>
          </cell>
          <cell r="T285">
            <v>0.17150593240789938</v>
          </cell>
        </row>
        <row r="286">
          <cell r="C286">
            <v>7.8655888999999988</v>
          </cell>
          <cell r="G286">
            <v>2.732145125E-2</v>
          </cell>
          <cell r="S286">
            <v>8.1802057000000019</v>
          </cell>
          <cell r="T286">
            <v>0.17318066740418089</v>
          </cell>
        </row>
        <row r="287">
          <cell r="C287">
            <v>7.9156613999999994</v>
          </cell>
          <cell r="G287">
            <v>2.7534819299999999E-2</v>
          </cell>
          <cell r="S287">
            <v>8.1301332000000013</v>
          </cell>
          <cell r="T287">
            <v>0.17489406525163897</v>
          </cell>
        </row>
        <row r="288">
          <cell r="C288">
            <v>7.9657339</v>
          </cell>
          <cell r="G288">
            <v>2.7748199350000002E-2</v>
          </cell>
          <cell r="S288">
            <v>8.0800607000000007</v>
          </cell>
          <cell r="T288">
            <v>0.17661907516319664</v>
          </cell>
        </row>
        <row r="289">
          <cell r="C289">
            <v>8.0158063999999989</v>
          </cell>
          <cell r="G289">
            <v>2.7974549599999999E-2</v>
          </cell>
          <cell r="S289">
            <v>8.0299882000000018</v>
          </cell>
          <cell r="T289">
            <v>0.17839073035716116</v>
          </cell>
        </row>
        <row r="290">
          <cell r="C290">
            <v>8.0658789999999989</v>
          </cell>
          <cell r="G290">
            <v>2.8213484150000002E-2</v>
          </cell>
          <cell r="S290">
            <v>7.9799157000000012</v>
          </cell>
          <cell r="T290">
            <v>0.18017545888586273</v>
          </cell>
        </row>
        <row r="291">
          <cell r="C291">
            <v>8.1159514999999995</v>
          </cell>
          <cell r="G291">
            <v>2.845380405E-2</v>
          </cell>
          <cell r="S291">
            <v>7.9298432000000005</v>
          </cell>
          <cell r="T291">
            <v>0.18200375530501098</v>
          </cell>
        </row>
        <row r="292">
          <cell r="C292">
            <v>8.1660240000000002</v>
          </cell>
          <cell r="G292">
            <v>2.86942146E-2</v>
          </cell>
          <cell r="S292">
            <v>7.8797707000000017</v>
          </cell>
          <cell r="T292">
            <v>0.18384139172261127</v>
          </cell>
        </row>
        <row r="293">
          <cell r="C293">
            <v>8.216096499999999</v>
          </cell>
          <cell r="G293">
            <v>2.8934647149999999E-2</v>
          </cell>
          <cell r="S293">
            <v>7.8296981000000017</v>
          </cell>
          <cell r="T293">
            <v>0.1857245682445649</v>
          </cell>
        </row>
        <row r="294">
          <cell r="C294">
            <v>8.2661689999999997</v>
          </cell>
          <cell r="G294">
            <v>2.9172327550000002E-2</v>
          </cell>
          <cell r="S294">
            <v>7.779625600000001</v>
          </cell>
          <cell r="T294">
            <v>0.18761517594192365</v>
          </cell>
        </row>
        <row r="295">
          <cell r="C295">
            <v>8.3162415000000003</v>
          </cell>
          <cell r="G295">
            <v>2.93991459E-2</v>
          </cell>
          <cell r="S295">
            <v>7.7295531000000022</v>
          </cell>
          <cell r="T295">
            <v>0.18955322313290773</v>
          </cell>
        </row>
        <row r="296">
          <cell r="C296">
            <v>8.3663139999999991</v>
          </cell>
          <cell r="G296">
            <v>2.9635950750000001E-2</v>
          </cell>
          <cell r="S296">
            <v>7.6794806000000015</v>
          </cell>
          <cell r="T296">
            <v>0.19150345450325276</v>
          </cell>
        </row>
        <row r="297">
          <cell r="C297">
            <v>8.4163864999999998</v>
          </cell>
          <cell r="G297">
            <v>2.9892543850000002E-2</v>
          </cell>
          <cell r="S297">
            <v>7.6294081000000009</v>
          </cell>
          <cell r="T297">
            <v>0.19351005936330257</v>
          </cell>
        </row>
        <row r="298">
          <cell r="C298">
            <v>8.4664590000000004</v>
          </cell>
          <cell r="G298">
            <v>3.0149164799999999E-2</v>
          </cell>
          <cell r="S298">
            <v>7.5793356000000021</v>
          </cell>
          <cell r="T298">
            <v>0.19552649728220661</v>
          </cell>
        </row>
        <row r="299">
          <cell r="C299">
            <v>8.5165314999999993</v>
          </cell>
          <cell r="G299">
            <v>3.04058127E-2</v>
          </cell>
          <cell r="S299">
            <v>7.5292631000000014</v>
          </cell>
          <cell r="T299">
            <v>0.19760348316560614</v>
          </cell>
        </row>
        <row r="300">
          <cell r="C300">
            <v>8.5666039999999999</v>
          </cell>
          <cell r="G300">
            <v>3.0706570400000001E-2</v>
          </cell>
          <cell r="S300">
            <v>7.4791906000000008</v>
          </cell>
          <cell r="T300">
            <v>0.19968616759332208</v>
          </cell>
        </row>
        <row r="301">
          <cell r="C301">
            <v>8.6166765000000005</v>
          </cell>
          <cell r="G301">
            <v>3.1012369099999999E-2</v>
          </cell>
          <cell r="S301">
            <v>7.4291181000000019</v>
          </cell>
          <cell r="T301">
            <v>0.20183359131739559</v>
          </cell>
        </row>
        <row r="302">
          <cell r="C302">
            <v>8.6667489999999994</v>
          </cell>
          <cell r="G302">
            <v>3.1322099249999999E-2</v>
          </cell>
          <cell r="S302">
            <v>7.3790456000000013</v>
          </cell>
          <cell r="T302">
            <v>0.20397264995460457</v>
          </cell>
        </row>
        <row r="303">
          <cell r="C303">
            <v>8.7168215</v>
          </cell>
          <cell r="G303">
            <v>3.1633394750000002E-2</v>
          </cell>
          <cell r="S303">
            <v>7.3289731000000007</v>
          </cell>
          <cell r="T303">
            <v>0.20619808886806623</v>
          </cell>
        </row>
        <row r="304">
          <cell r="C304">
            <v>8.7668939999999989</v>
          </cell>
          <cell r="G304">
            <v>3.1944738049999997E-2</v>
          </cell>
          <cell r="S304">
            <v>7.2789006000000018</v>
          </cell>
          <cell r="T304">
            <v>0.20839329314841185</v>
          </cell>
        </row>
        <row r="305">
          <cell r="C305">
            <v>8.8169665999999989</v>
          </cell>
          <cell r="G305">
            <v>3.2241636599999998E-2</v>
          </cell>
          <cell r="S305">
            <v>7.2288281000000012</v>
          </cell>
          <cell r="T305">
            <v>0.21069737756696236</v>
          </cell>
        </row>
        <row r="306">
          <cell r="C306">
            <v>8.8670390999999995</v>
          </cell>
          <cell r="G306">
            <v>3.2528639050000002E-2</v>
          </cell>
          <cell r="S306">
            <v>7.1787556000000006</v>
          </cell>
          <cell r="T306">
            <v>0.21295681504765671</v>
          </cell>
        </row>
        <row r="307">
          <cell r="C307">
            <v>8.9171116000000001</v>
          </cell>
          <cell r="G307">
            <v>3.2817496250000001E-2</v>
          </cell>
          <cell r="S307">
            <v>7.1286831000000017</v>
          </cell>
          <cell r="T307">
            <v>0.21533991086102994</v>
          </cell>
        </row>
        <row r="308">
          <cell r="C308">
            <v>8.967184099999999</v>
          </cell>
          <cell r="G308">
            <v>3.3122575449999997E-2</v>
          </cell>
          <cell r="S308">
            <v>7.0786105000000017</v>
          </cell>
          <cell r="T308">
            <v>0.2176997831300532</v>
          </cell>
        </row>
        <row r="309">
          <cell r="C309">
            <v>9.0172565999999996</v>
          </cell>
          <cell r="G309">
            <v>3.3427678549999999E-2</v>
          </cell>
          <cell r="S309">
            <v>7.0285380000000011</v>
          </cell>
          <cell r="T309">
            <v>0.22016645531328977</v>
          </cell>
        </row>
        <row r="310">
          <cell r="C310">
            <v>9.0673291000000003</v>
          </cell>
          <cell r="G310">
            <v>3.3743755049999997E-2</v>
          </cell>
          <cell r="S310">
            <v>6.9784655000000022</v>
          </cell>
          <cell r="T310">
            <v>0.2226269066073773</v>
          </cell>
        </row>
        <row r="311">
          <cell r="C311">
            <v>9.1174015999999991</v>
          </cell>
          <cell r="G311">
            <v>3.40868088E-2</v>
          </cell>
          <cell r="S311">
            <v>6.9283930000000016</v>
          </cell>
          <cell r="T311">
            <v>0.22517528012318005</v>
          </cell>
        </row>
        <row r="312">
          <cell r="C312">
            <v>9.1674740999999997</v>
          </cell>
          <cell r="G312">
            <v>3.4429919150000002E-2</v>
          </cell>
          <cell r="S312">
            <v>6.8783205000000009</v>
          </cell>
          <cell r="T312">
            <v>0.22772800525990125</v>
          </cell>
        </row>
        <row r="313">
          <cell r="C313">
            <v>9.2175466000000004</v>
          </cell>
          <cell r="G313">
            <v>3.4768489600000001E-2</v>
          </cell>
          <cell r="S313">
            <v>6.8282480000000021</v>
          </cell>
          <cell r="T313">
            <v>0.23036139603839778</v>
          </cell>
        </row>
        <row r="314">
          <cell r="C314">
            <v>9.2676190999999992</v>
          </cell>
          <cell r="G314">
            <v>3.5102249599999996E-2</v>
          </cell>
          <cell r="S314">
            <v>6.7781755000000015</v>
          </cell>
          <cell r="T314">
            <v>0.23300081063440728</v>
          </cell>
        </row>
        <row r="315">
          <cell r="C315">
            <v>9.3176915999999999</v>
          </cell>
          <cell r="G315">
            <v>3.5436068649999999E-2</v>
          </cell>
          <cell r="S315">
            <v>6.7281030000000008</v>
          </cell>
          <cell r="T315">
            <v>0.23573156765984682</v>
          </cell>
        </row>
        <row r="316">
          <cell r="C316">
            <v>9.3677641000000005</v>
          </cell>
          <cell r="G316">
            <v>3.5740442250000004E-2</v>
          </cell>
          <cell r="S316">
            <v>6.678030500000002</v>
          </cell>
          <cell r="T316">
            <v>0.23845774140214837</v>
          </cell>
        </row>
        <row r="317">
          <cell r="C317">
            <v>9.4178365999999993</v>
          </cell>
          <cell r="G317">
            <v>3.6044396399999998E-2</v>
          </cell>
          <cell r="S317">
            <v>6.6279580000000013</v>
          </cell>
          <cell r="T317">
            <v>0.24128646567516374</v>
          </cell>
        </row>
        <row r="318">
          <cell r="C318">
            <v>9.4679091</v>
          </cell>
          <cell r="G318">
            <v>3.6348397899999996E-2</v>
          </cell>
          <cell r="S318">
            <v>6.5778855000000007</v>
          </cell>
          <cell r="T318">
            <v>0.24412711235693904</v>
          </cell>
        </row>
        <row r="319">
          <cell r="C319">
            <v>9.5179815999999988</v>
          </cell>
          <cell r="G319">
            <v>3.66598323E-2</v>
          </cell>
          <cell r="S319">
            <v>6.5278130000000019</v>
          </cell>
          <cell r="T319">
            <v>0.24707701633060813</v>
          </cell>
        </row>
        <row r="320">
          <cell r="C320">
            <v>9.5680541999999988</v>
          </cell>
          <cell r="G320">
            <v>3.6972411699999999E-2</v>
          </cell>
          <cell r="S320">
            <v>6.4777405000000012</v>
          </cell>
          <cell r="T320">
            <v>0.25003570798839819</v>
          </cell>
        </row>
        <row r="321">
          <cell r="C321">
            <v>9.6181266999999995</v>
          </cell>
          <cell r="G321">
            <v>3.7314695750000001E-2</v>
          </cell>
          <cell r="S321">
            <v>6.4276680000000006</v>
          </cell>
          <cell r="T321">
            <v>0.25313624098592735</v>
          </cell>
        </row>
        <row r="322">
          <cell r="C322">
            <v>9.6681992000000001</v>
          </cell>
          <cell r="G322">
            <v>3.7671009849999999E-2</v>
          </cell>
          <cell r="S322">
            <v>6.3775955000000017</v>
          </cell>
          <cell r="T322">
            <v>0.25621507938266758</v>
          </cell>
        </row>
        <row r="323">
          <cell r="C323">
            <v>9.718271699999999</v>
          </cell>
          <cell r="G323">
            <v>3.8027371850000005E-2</v>
          </cell>
          <cell r="S323">
            <v>6.3275229000000017</v>
          </cell>
          <cell r="T323">
            <v>0.25946630018327244</v>
          </cell>
        </row>
        <row r="324">
          <cell r="C324">
            <v>9.7683441999999996</v>
          </cell>
          <cell r="G324">
            <v>3.8392820500000001E-2</v>
          </cell>
          <cell r="S324">
            <v>6.2774504000000011</v>
          </cell>
          <cell r="T324">
            <v>0.26267968728562019</v>
          </cell>
        </row>
        <row r="325">
          <cell r="C325">
            <v>9.8184167000000002</v>
          </cell>
          <cell r="G325">
            <v>3.878514055E-2</v>
          </cell>
          <cell r="S325">
            <v>6.2273779000000022</v>
          </cell>
          <cell r="T325">
            <v>0.26607854987724278</v>
          </cell>
        </row>
        <row r="326">
          <cell r="C326">
            <v>9.8684891999999991</v>
          </cell>
          <cell r="G326">
            <v>3.9170781350000003E-2</v>
          </cell>
          <cell r="S326">
            <v>6.1773054000000016</v>
          </cell>
          <cell r="T326">
            <v>0.26942668603079756</v>
          </cell>
        </row>
        <row r="327">
          <cell r="C327">
            <v>9.9185616999999997</v>
          </cell>
          <cell r="G327">
            <v>3.9545216750000001E-2</v>
          </cell>
          <cell r="S327">
            <v>6.127232900000001</v>
          </cell>
          <cell r="T327">
            <v>0.27296456221256782</v>
          </cell>
        </row>
        <row r="328">
          <cell r="C328">
            <v>9.9686342000000003</v>
          </cell>
          <cell r="G328">
            <v>3.9919748249999998E-2</v>
          </cell>
          <cell r="S328">
            <v>6.0771604000000021</v>
          </cell>
          <cell r="T328">
            <v>0.27647814200828746</v>
          </cell>
        </row>
        <row r="329">
          <cell r="C329">
            <v>10.018706699999999</v>
          </cell>
          <cell r="G329">
            <v>4.0294373049999999E-2</v>
          </cell>
          <cell r="S329">
            <v>6.0270879000000015</v>
          </cell>
          <cell r="T329">
            <v>0.28015516979239624</v>
          </cell>
        </row>
        <row r="330">
          <cell r="C330">
            <v>10.0687792</v>
          </cell>
          <cell r="G330">
            <v>4.0668879899999996E-2</v>
          </cell>
          <cell r="S330">
            <v>5.9770154000000009</v>
          </cell>
          <cell r="T330">
            <v>0.28385789628902786</v>
          </cell>
        </row>
        <row r="331">
          <cell r="C331">
            <v>10.1188517</v>
          </cell>
          <cell r="G331">
            <v>4.1047118850000001E-2</v>
          </cell>
          <cell r="S331">
            <v>5.926942900000002</v>
          </cell>
          <cell r="T331">
            <v>0.28770884893343379</v>
          </cell>
        </row>
        <row r="332">
          <cell r="C332">
            <v>10.168924199999999</v>
          </cell>
          <cell r="G332">
            <v>4.1474586650000006E-2</v>
          </cell>
          <cell r="S332">
            <v>5.8768704000000014</v>
          </cell>
          <cell r="T332">
            <v>0.29160052454939117</v>
          </cell>
        </row>
        <row r="333">
          <cell r="C333">
            <v>10.2189967</v>
          </cell>
          <cell r="G333">
            <v>4.1902284300000002E-2</v>
          </cell>
          <cell r="S333">
            <v>5.8267979000000025</v>
          </cell>
          <cell r="T333">
            <v>0.29563371294141888</v>
          </cell>
        </row>
        <row r="334">
          <cell r="C334">
            <v>10.269069199999999</v>
          </cell>
          <cell r="G334">
            <v>4.2330204650000001E-2</v>
          </cell>
          <cell r="S334">
            <v>5.7767254000000001</v>
          </cell>
          <cell r="T334">
            <v>0.29970258380408976</v>
          </cell>
        </row>
        <row r="335">
          <cell r="C335">
            <v>10.319141699999999</v>
          </cell>
          <cell r="G335">
            <v>4.27585365E-2</v>
          </cell>
          <cell r="S335">
            <v>5.7266529000000013</v>
          </cell>
          <cell r="T335">
            <v>0.30391818435890733</v>
          </cell>
        </row>
        <row r="336">
          <cell r="C336">
            <v>10.369214299999999</v>
          </cell>
          <cell r="G336">
            <v>4.3197053550000003E-2</v>
          </cell>
          <cell r="S336">
            <v>5.6765804000000024</v>
          </cell>
          <cell r="T336">
            <v>0.30816475013172917</v>
          </cell>
        </row>
        <row r="337">
          <cell r="C337">
            <v>10.4192868</v>
          </cell>
          <cell r="G337">
            <v>4.3642158899999998E-2</v>
          </cell>
          <cell r="S337">
            <v>5.6265079</v>
          </cell>
          <cell r="T337">
            <v>0.3126069385455833</v>
          </cell>
        </row>
        <row r="338">
          <cell r="C338">
            <v>10.469359299999999</v>
          </cell>
          <cell r="G338">
            <v>4.4089306699999997E-2</v>
          </cell>
          <cell r="S338">
            <v>5.5764353</v>
          </cell>
          <cell r="T338">
            <v>0.3170520475938518</v>
          </cell>
        </row>
        <row r="339">
          <cell r="C339">
            <v>10.5194318</v>
          </cell>
          <cell r="G339">
            <v>4.45365135E-2</v>
          </cell>
          <cell r="S339">
            <v>5.5263628000000011</v>
          </cell>
          <cell r="T339">
            <v>0.32171994530322368</v>
          </cell>
        </row>
        <row r="340">
          <cell r="C340">
            <v>10.5695043</v>
          </cell>
          <cell r="G340">
            <v>4.4983777650000001E-2</v>
          </cell>
          <cell r="S340">
            <v>5.4762903000000023</v>
          </cell>
          <cell r="T340">
            <v>0.32642661298611325</v>
          </cell>
        </row>
        <row r="341">
          <cell r="C341">
            <v>10.619576799999999</v>
          </cell>
          <cell r="G341">
            <v>4.5451461450000001E-2</v>
          </cell>
          <cell r="S341">
            <v>5.4262177999999999</v>
          </cell>
          <cell r="T341">
            <v>0.33133662819381432</v>
          </cell>
        </row>
        <row r="342">
          <cell r="C342">
            <v>10.6696493</v>
          </cell>
          <cell r="G342">
            <v>4.5945283749999996E-2</v>
          </cell>
          <cell r="S342">
            <v>5.376145300000001</v>
          </cell>
          <cell r="T342">
            <v>0.33630560847607799</v>
          </cell>
        </row>
        <row r="343">
          <cell r="C343">
            <v>10.7197218</v>
          </cell>
          <cell r="G343">
            <v>4.6434446349999998E-2</v>
          </cell>
          <cell r="S343">
            <v>5.3260728000000022</v>
          </cell>
          <cell r="T343">
            <v>0.34151700452561584</v>
          </cell>
        </row>
        <row r="344">
          <cell r="C344">
            <v>10.769794299999999</v>
          </cell>
          <cell r="G344">
            <v>4.6925112249999998E-2</v>
          </cell>
          <cell r="S344">
            <v>5.2760002999999998</v>
          </cell>
          <cell r="T344">
            <v>0.34675495069561046</v>
          </cell>
        </row>
        <row r="345">
          <cell r="C345">
            <v>10.8198668</v>
          </cell>
          <cell r="G345">
            <v>4.7416880699999997E-2</v>
          </cell>
          <cell r="S345">
            <v>5.2259278000000009</v>
          </cell>
          <cell r="T345">
            <v>0.35226439846030644</v>
          </cell>
        </row>
        <row r="346">
          <cell r="C346">
            <v>10.8699393</v>
          </cell>
          <cell r="G346">
            <v>4.7908908E-2</v>
          </cell>
          <cell r="S346">
            <v>5.175855300000002</v>
          </cell>
          <cell r="T346">
            <v>0.35777560437330763</v>
          </cell>
        </row>
        <row r="347">
          <cell r="C347">
            <v>10.920011799999999</v>
          </cell>
          <cell r="G347">
            <v>4.8374448799999997E-2</v>
          </cell>
          <cell r="S347">
            <v>5.1257828000000032</v>
          </cell>
          <cell r="T347">
            <v>0.36360620094226437</v>
          </cell>
        </row>
        <row r="348">
          <cell r="C348">
            <v>10.9700843</v>
          </cell>
          <cell r="G348">
            <v>4.8859779950000001E-2</v>
          </cell>
          <cell r="S348">
            <v>5.0757103000000008</v>
          </cell>
          <cell r="T348">
            <v>0.36939073591633748</v>
          </cell>
        </row>
        <row r="349">
          <cell r="C349">
            <v>11.020156800000001</v>
          </cell>
          <cell r="G349">
            <v>4.9345357899999998E-2</v>
          </cell>
          <cell r="S349">
            <v>5.0256378000000019</v>
          </cell>
          <cell r="T349">
            <v>0.37558840813175437</v>
          </cell>
        </row>
        <row r="350">
          <cell r="C350">
            <v>11.070229299999999</v>
          </cell>
          <cell r="G350">
            <v>4.9831175599999999E-2</v>
          </cell>
          <cell r="S350">
            <v>4.9755653000000031</v>
          </cell>
          <cell r="T350">
            <v>0.38181798116785853</v>
          </cell>
        </row>
        <row r="351">
          <cell r="C351">
            <v>11.120301899999999</v>
          </cell>
          <cell r="G351">
            <v>5.0317226249999999E-2</v>
          </cell>
          <cell r="S351">
            <v>4.9254928000000007</v>
          </cell>
          <cell r="T351">
            <v>0.3883841124671798</v>
          </cell>
        </row>
        <row r="352">
          <cell r="C352">
            <v>11.1703744</v>
          </cell>
          <cell r="G352">
            <v>5.0819771299999997E-2</v>
          </cell>
          <cell r="S352">
            <v>4.8754203000000018</v>
          </cell>
          <cell r="T352">
            <v>0.39507086319014889</v>
          </cell>
        </row>
        <row r="353">
          <cell r="C353">
            <v>11.220446899999999</v>
          </cell>
          <cell r="G353">
            <v>5.1455182949999997E-2</v>
          </cell>
          <cell r="S353">
            <v>4.8253477000000018</v>
          </cell>
          <cell r="T353">
            <v>0.40208020932794691</v>
          </cell>
        </row>
        <row r="354">
          <cell r="C354">
            <v>11.2705194</v>
          </cell>
          <cell r="G354">
            <v>5.210001065E-2</v>
          </cell>
          <cell r="S354">
            <v>4.7752752000000029</v>
          </cell>
          <cell r="T354">
            <v>0.40923648002466279</v>
          </cell>
        </row>
        <row r="355">
          <cell r="C355">
            <v>11.3205919</v>
          </cell>
          <cell r="G355">
            <v>5.2720536149999997E-2</v>
          </cell>
          <cell r="S355">
            <v>4.7252027000000005</v>
          </cell>
          <cell r="T355">
            <v>0.41672430988986914</v>
          </cell>
        </row>
        <row r="356">
          <cell r="C356">
            <v>11.370664399999999</v>
          </cell>
          <cell r="G356">
            <v>5.3272660649999998E-2</v>
          </cell>
          <cell r="S356">
            <v>4.6751302000000017</v>
          </cell>
          <cell r="T356">
            <v>0.42438568806561278</v>
          </cell>
        </row>
        <row r="357">
          <cell r="C357">
            <v>11.4207369</v>
          </cell>
          <cell r="G357">
            <v>5.3824860449999998E-2</v>
          </cell>
          <cell r="S357">
            <v>4.6250577000000028</v>
          </cell>
          <cell r="T357">
            <v>0.43235811899014392</v>
          </cell>
        </row>
        <row r="358">
          <cell r="C358">
            <v>11.4708094</v>
          </cell>
          <cell r="G358">
            <v>5.4424942949999999E-2</v>
          </cell>
          <cell r="S358">
            <v>4.5749852000000004</v>
          </cell>
          <cell r="T358">
            <v>0.44053807512700993</v>
          </cell>
        </row>
        <row r="359">
          <cell r="C359">
            <v>11.520881899999999</v>
          </cell>
          <cell r="G359">
            <v>5.5063911650000005E-2</v>
          </cell>
          <cell r="S359">
            <v>4.5249127000000016</v>
          </cell>
          <cell r="T359">
            <v>0.4492305210057379</v>
          </cell>
        </row>
        <row r="360">
          <cell r="C360">
            <v>11.5709544</v>
          </cell>
          <cell r="G360">
            <v>5.57030159E-2</v>
          </cell>
          <cell r="S360">
            <v>4.4748402000000027</v>
          </cell>
          <cell r="T360">
            <v>0.45813820409156636</v>
          </cell>
        </row>
        <row r="361">
          <cell r="C361">
            <v>11.6210269</v>
          </cell>
          <cell r="G361">
            <v>5.6407721350000002E-2</v>
          </cell>
          <cell r="S361">
            <v>4.4247677000000003</v>
          </cell>
          <cell r="T361">
            <v>0.46760921559460861</v>
          </cell>
        </row>
        <row r="362">
          <cell r="C362">
            <v>11.671099399999999</v>
          </cell>
          <cell r="G362">
            <v>5.7118242200000002E-2</v>
          </cell>
          <cell r="S362">
            <v>4.3746952000000014</v>
          </cell>
          <cell r="T362">
            <v>0.47735396957031978</v>
          </cell>
        </row>
        <row r="363">
          <cell r="C363">
            <v>11.7211719</v>
          </cell>
          <cell r="G363">
            <v>5.7826474249999996E-2</v>
          </cell>
          <cell r="S363">
            <v>4.3246227000000026</v>
          </cell>
          <cell r="T363">
            <v>0.48763772747044498</v>
          </cell>
        </row>
        <row r="364">
          <cell r="C364">
            <v>11.7712444</v>
          </cell>
          <cell r="G364">
            <v>5.8516236400000005E-2</v>
          </cell>
          <cell r="S364">
            <v>4.2745502000000002</v>
          </cell>
          <cell r="T364">
            <v>0.49820986875773854</v>
          </cell>
        </row>
        <row r="365">
          <cell r="C365">
            <v>11.821316899999999</v>
          </cell>
          <cell r="G365">
            <v>5.9205431949999998E-2</v>
          </cell>
          <cell r="S365">
            <v>4.2244777000000013</v>
          </cell>
          <cell r="T365">
            <v>0.50939077727731641</v>
          </cell>
        </row>
        <row r="366">
          <cell r="C366">
            <v>11.871389499999999</v>
          </cell>
          <cell r="G366">
            <v>5.9894778199999998E-2</v>
          </cell>
          <cell r="S366">
            <v>4.1744052000000025</v>
          </cell>
          <cell r="T366">
            <v>0.52092006585928508</v>
          </cell>
        </row>
        <row r="367">
          <cell r="C367">
            <v>11.921462</v>
          </cell>
          <cell r="G367">
            <v>6.0584269999999996E-2</v>
          </cell>
          <cell r="S367">
            <v>4.1243327000000001</v>
          </cell>
          <cell r="T367">
            <v>0.53300025537366968</v>
          </cell>
        </row>
        <row r="368">
          <cell r="C368">
            <v>11.971534499999999</v>
          </cell>
          <cell r="G368">
            <v>6.1273902249999998E-2</v>
          </cell>
          <cell r="S368">
            <v>4.0742601000000001</v>
          </cell>
          <cell r="T368">
            <v>0.54549119978534921</v>
          </cell>
        </row>
        <row r="369">
          <cell r="C369">
            <v>12.021606999999999</v>
          </cell>
          <cell r="G369">
            <v>6.2031920749999997E-2</v>
          </cell>
          <cell r="S369">
            <v>4.0241876000000012</v>
          </cell>
          <cell r="T369">
            <v>0.55877405547960057</v>
          </cell>
        </row>
        <row r="370">
          <cell r="C370">
            <v>12.0716795</v>
          </cell>
          <cell r="G370">
            <v>6.2856978600000002E-2</v>
          </cell>
          <cell r="S370">
            <v>3.9741151000000023</v>
          </cell>
          <cell r="T370">
            <v>0.57243377147165075</v>
          </cell>
        </row>
        <row r="371">
          <cell r="C371">
            <v>12.121751999999999</v>
          </cell>
          <cell r="G371">
            <v>6.3682280399999999E-2</v>
          </cell>
          <cell r="S371">
            <v>3.9240425999999999</v>
          </cell>
          <cell r="T371">
            <v>0.5869925578900691</v>
          </cell>
        </row>
        <row r="372">
          <cell r="C372">
            <v>12.1718245</v>
          </cell>
          <cell r="G372">
            <v>6.4507816699999998E-2</v>
          </cell>
          <cell r="S372">
            <v>3.8739701000000011</v>
          </cell>
          <cell r="T372">
            <v>0.60223431623634993</v>
          </cell>
        </row>
        <row r="373">
          <cell r="C373">
            <v>12.221897</v>
          </cell>
          <cell r="G373">
            <v>6.5333578449999999E-2</v>
          </cell>
          <cell r="S373">
            <v>3.8238976000000022</v>
          </cell>
          <cell r="T373">
            <v>0.61836834592824341</v>
          </cell>
        </row>
        <row r="374">
          <cell r="C374">
            <v>12.271969499999999</v>
          </cell>
          <cell r="G374">
            <v>6.6163884899999997E-2</v>
          </cell>
          <cell r="S374">
            <v>3.7738250999999998</v>
          </cell>
          <cell r="T374">
            <v>0.63519712171955067</v>
          </cell>
        </row>
        <row r="375">
          <cell r="C375">
            <v>12.322042</v>
          </cell>
          <cell r="G375">
            <v>6.7024637949999993E-2</v>
          </cell>
          <cell r="S375">
            <v>3.723752600000001</v>
          </cell>
          <cell r="T375">
            <v>0.6536984753307179</v>
          </cell>
        </row>
        <row r="376">
          <cell r="C376">
            <v>12.3721145</v>
          </cell>
          <cell r="G376">
            <v>6.7897411850000006E-2</v>
          </cell>
          <cell r="S376">
            <v>3.6736801000000021</v>
          </cell>
          <cell r="T376">
            <v>0.67245292010371693</v>
          </cell>
        </row>
        <row r="377">
          <cell r="C377">
            <v>12.422186999999999</v>
          </cell>
          <cell r="G377">
            <v>6.8770507699999997E-2</v>
          </cell>
          <cell r="S377">
            <v>3.6236075999999997</v>
          </cell>
          <cell r="T377">
            <v>0.69331387260691346</v>
          </cell>
        </row>
        <row r="378">
          <cell r="C378">
            <v>12.4722595</v>
          </cell>
          <cell r="G378">
            <v>6.9643913549999992E-2</v>
          </cell>
          <cell r="S378">
            <v>3.5735351000000009</v>
          </cell>
          <cell r="T378">
            <v>0.71415807950205523</v>
          </cell>
        </row>
        <row r="379">
          <cell r="C379">
            <v>12.522332</v>
          </cell>
          <cell r="G379">
            <v>7.0569427099999998E-2</v>
          </cell>
          <cell r="S379">
            <v>3.523462600000002</v>
          </cell>
          <cell r="T379">
            <v>0.73751607475976522</v>
          </cell>
        </row>
        <row r="380">
          <cell r="C380">
            <v>12.572404499999999</v>
          </cell>
          <cell r="G380">
            <v>7.1604020299999988E-2</v>
          </cell>
          <cell r="S380">
            <v>3.4733901000000031</v>
          </cell>
          <cell r="T380">
            <v>0.76050239158735033</v>
          </cell>
        </row>
        <row r="381">
          <cell r="C381">
            <v>12.622477099999999</v>
          </cell>
          <cell r="G381">
            <v>7.266659989999999E-2</v>
          </cell>
          <cell r="S381">
            <v>3.4233176000000007</v>
          </cell>
          <cell r="T381">
            <v>0.78640276953813359</v>
          </cell>
        </row>
        <row r="382">
          <cell r="C382">
            <v>12.6725496</v>
          </cell>
          <cell r="G382">
            <v>7.3729626049999997E-2</v>
          </cell>
          <cell r="S382">
            <v>3.3732451000000019</v>
          </cell>
          <cell r="T382">
            <v>0.81308586838311658</v>
          </cell>
        </row>
        <row r="383">
          <cell r="C383">
            <v>12.722622099999999</v>
          </cell>
          <cell r="G383">
            <v>7.479307935E-2</v>
          </cell>
          <cell r="S383">
            <v>3.3231725000000019</v>
          </cell>
          <cell r="T383">
            <v>0.84192242661599315</v>
          </cell>
        </row>
        <row r="384">
          <cell r="C384">
            <v>12.772694599999999</v>
          </cell>
          <cell r="G384">
            <v>7.5856463700000001E-2</v>
          </cell>
          <cell r="S384">
            <v>3.273100000000003</v>
          </cell>
          <cell r="T384">
            <v>0.87230823289377901</v>
          </cell>
        </row>
        <row r="385">
          <cell r="C385">
            <v>12.8227671</v>
          </cell>
          <cell r="G385">
            <v>7.690030384999999E-2</v>
          </cell>
          <cell r="S385">
            <v>3.2230275000000006</v>
          </cell>
          <cell r="T385">
            <v>0.90506918953686566</v>
          </cell>
        </row>
        <row r="386">
          <cell r="C386">
            <v>12.872839599999999</v>
          </cell>
          <cell r="G386">
            <v>7.797182875E-2</v>
          </cell>
          <cell r="S386">
            <v>3.1729550000000017</v>
          </cell>
          <cell r="T386">
            <v>0.9393932481626821</v>
          </cell>
        </row>
        <row r="387">
          <cell r="C387">
            <v>12.9229121</v>
          </cell>
          <cell r="G387">
            <v>7.9074542750000004E-2</v>
          </cell>
          <cell r="S387">
            <v>3.1228825000000029</v>
          </cell>
          <cell r="T387">
            <v>0.9760795811501829</v>
          </cell>
        </row>
        <row r="388">
          <cell r="C388">
            <v>12.9729846</v>
          </cell>
          <cell r="G388">
            <v>8.017750555E-2</v>
          </cell>
          <cell r="S388">
            <v>3.0728100000000005</v>
          </cell>
          <cell r="T388">
            <v>1.0147214852169</v>
          </cell>
        </row>
        <row r="389">
          <cell r="C389">
            <v>13.023057099999999</v>
          </cell>
          <cell r="G389">
            <v>8.1280707199999996E-2</v>
          </cell>
          <cell r="S389">
            <v>3.0227375000000016</v>
          </cell>
          <cell r="T389">
            <v>1.0558260674723146</v>
          </cell>
        </row>
        <row r="390">
          <cell r="C390">
            <v>13.0731296</v>
          </cell>
          <cell r="G390">
            <v>8.2454762399999992E-2</v>
          </cell>
          <cell r="S390">
            <v>2.9726650000000028</v>
          </cell>
          <cell r="T390">
            <v>1.0987868896408568</v>
          </cell>
        </row>
        <row r="391">
          <cell r="C391">
            <v>13.123202099999999</v>
          </cell>
          <cell r="G391">
            <v>8.3656889050000002E-2</v>
          </cell>
          <cell r="S391">
            <v>2.9225925000000004</v>
          </cell>
          <cell r="T391">
            <v>1.1446419456614305</v>
          </cell>
        </row>
        <row r="392">
          <cell r="C392">
            <v>13.173274600000001</v>
          </cell>
          <cell r="G392">
            <v>8.5053942850000008E-2</v>
          </cell>
          <cell r="S392">
            <v>2.8725200000000015</v>
          </cell>
          <cell r="T392">
            <v>1.1914262134945137</v>
          </cell>
        </row>
        <row r="393">
          <cell r="C393">
            <v>13.2233471</v>
          </cell>
          <cell r="G393">
            <v>8.6485328350000001E-2</v>
          </cell>
          <cell r="S393">
            <v>2.8224475000000027</v>
          </cell>
          <cell r="T393">
            <v>1.2415003402917466</v>
          </cell>
        </row>
        <row r="394">
          <cell r="C394">
            <v>13.273419599999999</v>
          </cell>
          <cell r="G394">
            <v>8.7917499250000003E-2</v>
          </cell>
          <cell r="S394">
            <v>2.7723750000000003</v>
          </cell>
          <cell r="T394">
            <v>1.2919257078251285</v>
          </cell>
        </row>
        <row r="395">
          <cell r="C395">
            <v>13.323492100000001</v>
          </cell>
          <cell r="G395">
            <v>8.9396140050000003E-2</v>
          </cell>
          <cell r="S395">
            <v>2.7223025000000014</v>
          </cell>
          <cell r="T395">
            <v>1.3446255657481228</v>
          </cell>
        </row>
        <row r="396">
          <cell r="C396">
            <v>13.373564700000001</v>
          </cell>
          <cell r="G396">
            <v>9.0940322500000004E-2</v>
          </cell>
          <cell r="S396">
            <v>2.6722300000000025</v>
          </cell>
          <cell r="T396">
            <v>1.3986031721270096</v>
          </cell>
        </row>
        <row r="397">
          <cell r="C397">
            <v>13.4236372</v>
          </cell>
          <cell r="G397">
            <v>9.2481910799999997E-2</v>
          </cell>
          <cell r="S397">
            <v>2.6221575000000001</v>
          </cell>
          <cell r="T397">
            <v>1.4539526620797345</v>
          </cell>
        </row>
        <row r="398">
          <cell r="C398">
            <v>13.473709699999999</v>
          </cell>
          <cell r="G398">
            <v>9.4013233800000012E-2</v>
          </cell>
          <cell r="S398">
            <v>2.5720849000000001</v>
          </cell>
          <cell r="T398">
            <v>1.5104311087179487</v>
          </cell>
        </row>
        <row r="399">
          <cell r="C399">
            <v>13.523782200000001</v>
          </cell>
          <cell r="G399">
            <v>9.5545379300000011E-2</v>
          </cell>
          <cell r="S399">
            <v>2.5220124000000013</v>
          </cell>
          <cell r="T399">
            <v>1.5675175105717358</v>
          </cell>
        </row>
        <row r="400">
          <cell r="C400">
            <v>13.5738547</v>
          </cell>
          <cell r="G400">
            <v>9.7100711350000007E-2</v>
          </cell>
          <cell r="S400">
            <v>2.4719399000000024</v>
          </cell>
          <cell r="T400">
            <v>1.6252269476540173</v>
          </cell>
        </row>
        <row r="401">
          <cell r="C401">
            <v>13.623927199999999</v>
          </cell>
          <cell r="G401">
            <v>9.88393625E-2</v>
          </cell>
          <cell r="S401">
            <v>2.4218674</v>
          </cell>
          <cell r="T401">
            <v>1.6833512433004434</v>
          </cell>
        </row>
        <row r="402">
          <cell r="C402">
            <v>13.673999700000001</v>
          </cell>
          <cell r="G402">
            <v>0.10057896764999999</v>
          </cell>
          <cell r="S402">
            <v>2.3717949000000011</v>
          </cell>
          <cell r="T402">
            <v>1.7415739121192546</v>
          </cell>
        </row>
        <row r="403">
          <cell r="C403">
            <v>13.7240722</v>
          </cell>
          <cell r="G403">
            <v>0.10243052450000001</v>
          </cell>
          <cell r="S403">
            <v>2.3217224000000023</v>
          </cell>
          <cell r="T403">
            <v>1.8001414667854709</v>
          </cell>
        </row>
        <row r="404">
          <cell r="C404">
            <v>13.774144699999999</v>
          </cell>
          <cell r="G404">
            <v>0.1043511555</v>
          </cell>
          <cell r="S404">
            <v>2.2716498999999999</v>
          </cell>
          <cell r="T404">
            <v>1.8584971584294181</v>
          </cell>
        </row>
        <row r="405">
          <cell r="C405">
            <v>13.824217199999998</v>
          </cell>
          <cell r="G405">
            <v>0.10627268500000001</v>
          </cell>
          <cell r="S405">
            <v>2.221577400000001</v>
          </cell>
          <cell r="T405">
            <v>1.916981691106143</v>
          </cell>
        </row>
        <row r="406">
          <cell r="C406">
            <v>13.8742897</v>
          </cell>
          <cell r="G406">
            <v>0.10819609499999999</v>
          </cell>
          <cell r="S406">
            <v>2.1715049000000022</v>
          </cell>
          <cell r="T406">
            <v>1.9754703144898</v>
          </cell>
        </row>
        <row r="407">
          <cell r="C407">
            <v>13.924362199999999</v>
          </cell>
          <cell r="G407">
            <v>0.110121185</v>
          </cell>
          <cell r="S407">
            <v>2.1214323999999998</v>
          </cell>
          <cell r="T407">
            <v>2.0338637486253934</v>
          </cell>
        </row>
        <row r="408">
          <cell r="C408">
            <v>13.974434699999998</v>
          </cell>
          <cell r="G408">
            <v>0.112048275</v>
          </cell>
          <cell r="S408">
            <v>2.0713599000000009</v>
          </cell>
          <cell r="T408">
            <v>2.0922225449154741</v>
          </cell>
        </row>
        <row r="409">
          <cell r="C409">
            <v>14.0245072</v>
          </cell>
          <cell r="G409">
            <v>0.11416617800000001</v>
          </cell>
          <cell r="S409">
            <v>2.0212874000000021</v>
          </cell>
          <cell r="T409">
            <v>2.1505436158556552</v>
          </cell>
        </row>
        <row r="410">
          <cell r="C410">
            <v>14.074579699999999</v>
          </cell>
          <cell r="G410">
            <v>0.11628582500000001</v>
          </cell>
          <cell r="S410">
            <v>1.9712148999999997</v>
          </cell>
          <cell r="T410">
            <v>2.2086934857668052</v>
          </cell>
        </row>
        <row r="411">
          <cell r="C411">
            <v>14.124652299999999</v>
          </cell>
          <cell r="G411">
            <v>0.118582378</v>
          </cell>
          <cell r="S411">
            <v>1.9211424000000008</v>
          </cell>
          <cell r="T411">
            <v>2.2667327455215154</v>
          </cell>
        </row>
        <row r="412">
          <cell r="C412">
            <v>14.174724799999998</v>
          </cell>
          <cell r="G412">
            <v>0.121056416</v>
          </cell>
          <cell r="S412">
            <v>1.871069900000002</v>
          </cell>
          <cell r="T412">
            <v>2.3246503533426313</v>
          </cell>
        </row>
        <row r="413">
          <cell r="C413">
            <v>14.224797300000001</v>
          </cell>
          <cell r="G413">
            <v>0.12353276499999999</v>
          </cell>
          <cell r="S413">
            <v>1.8209973000000019</v>
          </cell>
          <cell r="T413">
            <v>2.3823543001837573</v>
          </cell>
        </row>
        <row r="414">
          <cell r="C414">
            <v>14.274869799999999</v>
          </cell>
          <cell r="G414">
            <v>0.12614649950000001</v>
          </cell>
          <cell r="S414">
            <v>1.7709248000000031</v>
          </cell>
          <cell r="T414">
            <v>2.4399628644693077</v>
          </cell>
        </row>
        <row r="415">
          <cell r="C415">
            <v>14.324942299999998</v>
          </cell>
          <cell r="G415">
            <v>0.1289773145</v>
          </cell>
          <cell r="S415">
            <v>1.7208523000000007</v>
          </cell>
          <cell r="T415">
            <v>2.4974977836467107</v>
          </cell>
        </row>
        <row r="416">
          <cell r="C416">
            <v>14.375014800000001</v>
          </cell>
          <cell r="G416">
            <v>0.13181644100000001</v>
          </cell>
          <cell r="S416">
            <v>1.6707798000000018</v>
          </cell>
          <cell r="T416">
            <v>2.5547965454119628</v>
          </cell>
        </row>
        <row r="417">
          <cell r="C417">
            <v>14.4250873</v>
          </cell>
          <cell r="G417">
            <v>0.13468244900000001</v>
          </cell>
          <cell r="S417">
            <v>1.620707300000003</v>
          </cell>
          <cell r="T417">
            <v>2.6120946940735377</v>
          </cell>
        </row>
        <row r="418">
          <cell r="C418">
            <v>14.475159799999998</v>
          </cell>
          <cell r="G418">
            <v>0.13755120450000002</v>
          </cell>
          <cell r="S418">
            <v>1.5706348000000006</v>
          </cell>
          <cell r="T418">
            <v>2.6691289212630722</v>
          </cell>
        </row>
        <row r="419">
          <cell r="C419">
            <v>14.525232300000001</v>
          </cell>
          <cell r="G419">
            <v>0.1404225425</v>
          </cell>
          <cell r="S419">
            <v>1.5205623000000017</v>
          </cell>
          <cell r="T419">
            <v>2.7261209806034761</v>
          </cell>
        </row>
        <row r="420">
          <cell r="C420">
            <v>14.5753048</v>
          </cell>
          <cell r="G420">
            <v>0.1434897775</v>
          </cell>
          <cell r="S420">
            <v>1.4704898000000028</v>
          </cell>
          <cell r="T420">
            <v>2.7829448504172847</v>
          </cell>
        </row>
        <row r="421">
          <cell r="C421">
            <v>14.625377299999998</v>
          </cell>
          <cell r="G421">
            <v>0.14661736</v>
          </cell>
          <cell r="S421">
            <v>1.4204173000000004</v>
          </cell>
          <cell r="T421">
            <v>2.8395913662074448</v>
          </cell>
        </row>
        <row r="422">
          <cell r="C422">
            <v>14.675449800000001</v>
          </cell>
          <cell r="G422">
            <v>0.15044130449999998</v>
          </cell>
          <cell r="S422">
            <v>1.3703448000000016</v>
          </cell>
          <cell r="T422">
            <v>2.8962041096813151</v>
          </cell>
        </row>
        <row r="423">
          <cell r="C423">
            <v>14.7255223</v>
          </cell>
          <cell r="G423">
            <v>0.15435544200000001</v>
          </cell>
          <cell r="S423">
            <v>1.3202723000000027</v>
          </cell>
          <cell r="T423">
            <v>2.9524352019792146</v>
          </cell>
        </row>
        <row r="424">
          <cell r="C424">
            <v>14.775594799999999</v>
          </cell>
          <cell r="G424">
            <v>0.15827429849999999</v>
          </cell>
          <cell r="S424">
            <v>1.2701998000000003</v>
          </cell>
          <cell r="T424">
            <v>3.0084797238422341</v>
          </cell>
        </row>
        <row r="425">
          <cell r="C425">
            <v>14.825667300000001</v>
          </cell>
          <cell r="G425">
            <v>0.162282658</v>
          </cell>
          <cell r="S425">
            <v>1.2201273000000015</v>
          </cell>
          <cell r="T425">
            <v>3.0642242768932744</v>
          </cell>
        </row>
        <row r="426">
          <cell r="C426">
            <v>14.875739900000001</v>
          </cell>
          <cell r="G426">
            <v>0.16676534600000001</v>
          </cell>
          <cell r="S426">
            <v>1.1700548000000026</v>
          </cell>
          <cell r="T426">
            <v>3.1196473452742723</v>
          </cell>
        </row>
        <row r="427">
          <cell r="C427">
            <v>14.9258124</v>
          </cell>
          <cell r="G427">
            <v>0.171393409</v>
          </cell>
          <cell r="S427">
            <v>1.1199823000000002</v>
          </cell>
          <cell r="T427">
            <v>3.1748285951045805</v>
          </cell>
        </row>
        <row r="428">
          <cell r="C428">
            <v>14.975884899999999</v>
          </cell>
          <cell r="G428">
            <v>0.17612522</v>
          </cell>
          <cell r="S428">
            <v>1.0699097000000002</v>
          </cell>
          <cell r="T428">
            <v>3.2296391946796361</v>
          </cell>
        </row>
        <row r="429">
          <cell r="C429">
            <v>15.025957400000001</v>
          </cell>
          <cell r="G429">
            <v>0.1808602715</v>
          </cell>
          <cell r="S429">
            <v>1.0198372000000013</v>
          </cell>
          <cell r="T429">
            <v>3.2841942952937808</v>
          </cell>
        </row>
        <row r="430">
          <cell r="C430">
            <v>15.0760299</v>
          </cell>
          <cell r="G430">
            <v>0.18559831100000002</v>
          </cell>
          <cell r="S430">
            <v>0.96976470000000248</v>
          </cell>
          <cell r="T430">
            <v>3.3384950784305474</v>
          </cell>
        </row>
        <row r="431">
          <cell r="C431">
            <v>15.126102399999999</v>
          </cell>
          <cell r="G431">
            <v>0.19103496049999999</v>
          </cell>
          <cell r="S431">
            <v>0.91969220000000007</v>
          </cell>
          <cell r="T431">
            <v>3.392422423641889</v>
          </cell>
        </row>
        <row r="432">
          <cell r="C432">
            <v>15.176174900000001</v>
          </cell>
          <cell r="G432">
            <v>0.1974557515</v>
          </cell>
          <cell r="S432">
            <v>0.86961970000000122</v>
          </cell>
          <cell r="T432">
            <v>3.4462120940362939</v>
          </cell>
        </row>
        <row r="433">
          <cell r="C433">
            <v>15.2262474</v>
          </cell>
          <cell r="G433">
            <v>0.20485063100000001</v>
          </cell>
          <cell r="S433">
            <v>0.81954720000000236</v>
          </cell>
          <cell r="T433">
            <v>3.4993210904643979</v>
          </cell>
        </row>
        <row r="434">
          <cell r="C434">
            <v>15.276319899999999</v>
          </cell>
          <cell r="G434">
            <v>0.21225089750000001</v>
          </cell>
          <cell r="S434">
            <v>0.76947469999999996</v>
          </cell>
          <cell r="T434">
            <v>3.5523267475318594</v>
          </cell>
        </row>
        <row r="435">
          <cell r="C435">
            <v>15.326392400000001</v>
          </cell>
          <cell r="G435">
            <v>0.21965600099999999</v>
          </cell>
          <cell r="S435">
            <v>0.7194022000000011</v>
          </cell>
          <cell r="T435">
            <v>3.6046442232939779</v>
          </cell>
        </row>
        <row r="436">
          <cell r="C436">
            <v>15.3764649</v>
          </cell>
          <cell r="G436">
            <v>0.2273222395</v>
          </cell>
          <cell r="S436">
            <v>0.66932970000000225</v>
          </cell>
          <cell r="T436">
            <v>3.6566862678038863</v>
          </cell>
        </row>
        <row r="437">
          <cell r="C437">
            <v>15.426537399999999</v>
          </cell>
          <cell r="G437">
            <v>0.2352080315</v>
          </cell>
          <cell r="S437">
            <v>0.61925719999999984</v>
          </cell>
          <cell r="T437">
            <v>3.7081807425959958</v>
          </cell>
        </row>
        <row r="438">
          <cell r="C438">
            <v>15.476609899999998</v>
          </cell>
          <cell r="G438">
            <v>0.24361180500000001</v>
          </cell>
          <cell r="S438">
            <v>0.56918470000000099</v>
          </cell>
          <cell r="T438">
            <v>3.7592578546564215</v>
          </cell>
        </row>
        <row r="439">
          <cell r="C439">
            <v>15.5266824</v>
          </cell>
          <cell r="G439">
            <v>0.25203642549999999</v>
          </cell>
          <cell r="S439">
            <v>0.51911220000000213</v>
          </cell>
          <cell r="T439">
            <v>3.8097873495702759</v>
          </cell>
        </row>
        <row r="440">
          <cell r="C440">
            <v>15.576754899999999</v>
          </cell>
          <cell r="G440">
            <v>0.26046875200000003</v>
          </cell>
          <cell r="S440">
            <v>0.46903969999999973</v>
          </cell>
          <cell r="T440">
            <v>3.8598824256244608</v>
          </cell>
        </row>
        <row r="441">
          <cell r="C441">
            <v>15.626827499999999</v>
          </cell>
          <cell r="G441">
            <v>0.26981009499999997</v>
          </cell>
          <cell r="S441">
            <v>0.41896720000000087</v>
          </cell>
          <cell r="T441">
            <v>3.9094337916952773</v>
          </cell>
        </row>
        <row r="442">
          <cell r="C442">
            <v>15.676899999999998</v>
          </cell>
          <cell r="G442">
            <v>0.2798926055</v>
          </cell>
          <cell r="S442">
            <v>0.36889470000000202</v>
          </cell>
          <cell r="T442">
            <v>3.958560936678249</v>
          </cell>
        </row>
        <row r="443">
          <cell r="C443">
            <v>15.7269725</v>
          </cell>
          <cell r="G443">
            <v>0.29171086950000003</v>
          </cell>
          <cell r="S443">
            <v>0.31882220000000316</v>
          </cell>
          <cell r="T443">
            <v>4.0068279627567795</v>
          </cell>
        </row>
        <row r="444">
          <cell r="C444">
            <v>15.777044999999999</v>
          </cell>
          <cell r="G444">
            <v>0.30438688199999997</v>
          </cell>
          <cell r="S444">
            <v>0.26874960000000314</v>
          </cell>
          <cell r="T444">
            <v>4.0547517343302566</v>
          </cell>
        </row>
        <row r="445">
          <cell r="C445">
            <v>15.827117499999998</v>
          </cell>
          <cell r="G445">
            <v>0.3170755515</v>
          </cell>
          <cell r="S445">
            <v>0.21867710000000073</v>
          </cell>
          <cell r="T445">
            <v>4.1016405570398931</v>
          </cell>
        </row>
        <row r="446">
          <cell r="C446">
            <v>15.877190000000001</v>
          </cell>
          <cell r="G446">
            <v>0.33234638999999999</v>
          </cell>
          <cell r="S446">
            <v>0.16860460000000188</v>
          </cell>
          <cell r="T446">
            <v>4.1478495587419051</v>
          </cell>
        </row>
        <row r="447">
          <cell r="C447">
            <v>15.927262499999999</v>
          </cell>
          <cell r="G447">
            <v>0.34966094450000001</v>
          </cell>
          <cell r="S447">
            <v>0.11853210000000303</v>
          </cell>
          <cell r="T447">
            <v>4.1930531707871994</v>
          </cell>
        </row>
        <row r="448">
          <cell r="C448">
            <v>15.977334999999998</v>
          </cell>
          <cell r="G448">
            <v>0.36772756149999997</v>
          </cell>
          <cell r="S448">
            <v>6.845960000000062E-2</v>
          </cell>
          <cell r="T448">
            <v>4.2375424365871091</v>
          </cell>
        </row>
        <row r="449">
          <cell r="C449">
            <v>16.027407500000002</v>
          </cell>
          <cell r="G449">
            <v>0.38709447450000001</v>
          </cell>
          <cell r="S449">
            <v>1.8387100000001766E-2</v>
          </cell>
          <cell r="T449">
            <v>4.2802499445504179</v>
          </cell>
        </row>
        <row r="450">
          <cell r="C450">
            <v>16.077480000000001</v>
          </cell>
          <cell r="G450">
            <v>0.4064829365</v>
          </cell>
          <cell r="S450">
            <v>-3.1685399999997088E-2</v>
          </cell>
          <cell r="T450">
            <v>4.3227418185512105</v>
          </cell>
        </row>
        <row r="451">
          <cell r="C451">
            <v>16.1275525</v>
          </cell>
          <cell r="G451">
            <v>0.426304707</v>
          </cell>
          <cell r="S451">
            <v>-8.1757899999999495E-2</v>
          </cell>
          <cell r="T451">
            <v>4.3629492972785249</v>
          </cell>
        </row>
        <row r="452">
          <cell r="C452">
            <v>16.177625000000003</v>
          </cell>
          <cell r="G452">
            <v>0.44647633649999996</v>
          </cell>
          <cell r="S452">
            <v>-0.13183039999999835</v>
          </cell>
          <cell r="T452">
            <v>4.4033306164229389</v>
          </cell>
        </row>
        <row r="453">
          <cell r="C453">
            <v>16.227697500000001</v>
          </cell>
          <cell r="G453">
            <v>0.46710036899999996</v>
          </cell>
          <cell r="S453">
            <v>-0.1819028999999972</v>
          </cell>
          <cell r="T453">
            <v>4.440880765231781</v>
          </cell>
        </row>
        <row r="454">
          <cell r="C454">
            <v>16.27777</v>
          </cell>
          <cell r="G454">
            <v>0.49407294000000002</v>
          </cell>
          <cell r="S454">
            <v>-0.23197539999999961</v>
          </cell>
          <cell r="T454">
            <v>4.4790934264532973</v>
          </cell>
        </row>
        <row r="455">
          <cell r="C455">
            <v>16.327842500000003</v>
          </cell>
          <cell r="G455">
            <v>0.52107358799999992</v>
          </cell>
          <cell r="S455">
            <v>-0.28204789999999846</v>
          </cell>
          <cell r="T455">
            <v>4.5139047632897142</v>
          </cell>
        </row>
        <row r="456">
          <cell r="C456">
            <v>16.377915100000003</v>
          </cell>
          <cell r="G456">
            <v>0.55140571250000003</v>
          </cell>
          <cell r="S456">
            <v>-0.33212039999999732</v>
          </cell>
          <cell r="T456">
            <v>4.5482962015306683</v>
          </cell>
        </row>
        <row r="457">
          <cell r="C457">
            <v>16.427987600000002</v>
          </cell>
          <cell r="G457">
            <v>0.58422664000000002</v>
          </cell>
          <cell r="S457">
            <v>-0.38219289999999972</v>
          </cell>
          <cell r="T457">
            <v>4.5799690042340115</v>
          </cell>
        </row>
        <row r="458">
          <cell r="C458">
            <v>16.4780601</v>
          </cell>
          <cell r="G458">
            <v>0.61706687199999999</v>
          </cell>
          <cell r="S458">
            <v>-0.43226539999999858</v>
          </cell>
          <cell r="T458">
            <v>4.610528329645077</v>
          </cell>
        </row>
        <row r="459">
          <cell r="C459">
            <v>16.528132600000003</v>
          </cell>
          <cell r="G459">
            <v>0.65181567100000004</v>
          </cell>
          <cell r="S459">
            <v>-0.4823379999999986</v>
          </cell>
          <cell r="T459">
            <v>4.6378988357602564</v>
          </cell>
        </row>
        <row r="460">
          <cell r="C460">
            <v>16.578205100000002</v>
          </cell>
          <cell r="G460">
            <v>0.68718038600000009</v>
          </cell>
          <cell r="S460">
            <v>-0.53241049999999746</v>
          </cell>
          <cell r="T460">
            <v>4.6644566324130441</v>
          </cell>
        </row>
        <row r="461">
          <cell r="C461">
            <v>16.628277600000001</v>
          </cell>
          <cell r="G461">
            <v>0.72406578349999995</v>
          </cell>
          <cell r="S461">
            <v>-0.58248299999999986</v>
          </cell>
          <cell r="T461">
            <v>4.687493331104478</v>
          </cell>
        </row>
        <row r="462">
          <cell r="C462">
            <v>16.678350100000003</v>
          </cell>
          <cell r="G462">
            <v>0.76213232350000004</v>
          </cell>
          <cell r="S462">
            <v>-0.63255549999999872</v>
          </cell>
          <cell r="T462">
            <v>4.7098825907257327</v>
          </cell>
        </row>
        <row r="463">
          <cell r="C463">
            <v>16.728422600000002</v>
          </cell>
          <cell r="G463">
            <v>0.800399415</v>
          </cell>
          <cell r="S463">
            <v>-0.68262799999999757</v>
          </cell>
          <cell r="T463">
            <v>4.7279245908439647</v>
          </cell>
        </row>
        <row r="464">
          <cell r="C464">
            <v>16.778495100000001</v>
          </cell>
          <cell r="G464">
            <v>0.83865215999999998</v>
          </cell>
          <cell r="S464">
            <v>-0.73270049999999998</v>
          </cell>
          <cell r="T464">
            <v>4.746180074619966</v>
          </cell>
        </row>
        <row r="465">
          <cell r="C465">
            <v>16.828567600000003</v>
          </cell>
          <cell r="G465">
            <v>0.87544010000000005</v>
          </cell>
          <cell r="S465">
            <v>-0.78277299999999883</v>
          </cell>
          <cell r="T465">
            <v>4.7586019304269733</v>
          </cell>
        </row>
        <row r="466">
          <cell r="C466">
            <v>16.878640100000002</v>
          </cell>
          <cell r="G466">
            <v>0.90672812950000004</v>
          </cell>
          <cell r="S466">
            <v>-0.83284549999999768</v>
          </cell>
          <cell r="T466">
            <v>4.772043497737501</v>
          </cell>
        </row>
        <row r="467">
          <cell r="C467">
            <v>16.928712600000001</v>
          </cell>
          <cell r="G467">
            <v>0.93419106699999999</v>
          </cell>
          <cell r="S467">
            <v>-0.88291800000000009</v>
          </cell>
          <cell r="T467">
            <v>4.7793795169538207</v>
          </cell>
        </row>
        <row r="468">
          <cell r="C468">
            <v>16.978785100000003</v>
          </cell>
          <cell r="G468">
            <v>0.96170860749999998</v>
          </cell>
          <cell r="S468">
            <v>-0.93299049999999895</v>
          </cell>
          <cell r="T468">
            <v>4.7874675141701655</v>
          </cell>
        </row>
        <row r="469">
          <cell r="C469">
            <v>17.028857600000002</v>
          </cell>
          <cell r="G469">
            <v>0.98858812750000002</v>
          </cell>
          <cell r="S469">
            <v>-0.9830629999999978</v>
          </cell>
          <cell r="T469">
            <v>4.7901115310167262</v>
          </cell>
        </row>
        <row r="470">
          <cell r="C470">
            <v>17.078930100000001</v>
          </cell>
          <cell r="G470">
            <v>1.0115839150000001</v>
          </cell>
          <cell r="S470">
            <v>-1.0331355000000002</v>
          </cell>
          <cell r="T470">
            <v>4.7930479772063643</v>
          </cell>
        </row>
        <row r="471">
          <cell r="C471">
            <v>17.129002700000001</v>
          </cell>
          <cell r="G471">
            <v>1.031740715</v>
          </cell>
          <cell r="S471">
            <v>-1.0832079999999991</v>
          </cell>
          <cell r="T471">
            <v>4.7907993641533544</v>
          </cell>
        </row>
        <row r="472">
          <cell r="C472">
            <v>17.1790752</v>
          </cell>
          <cell r="G472">
            <v>1.04644314</v>
          </cell>
          <cell r="S472">
            <v>-1.1332804999999979</v>
          </cell>
          <cell r="T472">
            <v>4.7886315617439674</v>
          </cell>
        </row>
        <row r="473">
          <cell r="C473">
            <v>17.229147700000002</v>
          </cell>
          <cell r="G473">
            <v>1.0572478950000002</v>
          </cell>
          <cell r="S473">
            <v>-1.1833530000000003</v>
          </cell>
          <cell r="T473">
            <v>4.7821986696999046</v>
          </cell>
        </row>
        <row r="474">
          <cell r="C474">
            <v>17.279220200000001</v>
          </cell>
          <cell r="G474">
            <v>1.0648334699999999</v>
          </cell>
          <cell r="S474">
            <v>-1.2334256000000003</v>
          </cell>
          <cell r="T474">
            <v>4.7761761242684448</v>
          </cell>
        </row>
        <row r="475">
          <cell r="C475">
            <v>17.3292927</v>
          </cell>
          <cell r="G475">
            <v>1.0702670750000001</v>
          </cell>
          <cell r="S475">
            <v>-1.2834980999999992</v>
          </cell>
          <cell r="T475">
            <v>4.7658216060440095</v>
          </cell>
        </row>
        <row r="476">
          <cell r="C476">
            <v>17.379365200000002</v>
          </cell>
          <cell r="G476">
            <v>1.0735289450000001</v>
          </cell>
          <cell r="S476">
            <v>-1.3335705999999981</v>
          </cell>
          <cell r="T476">
            <v>4.7564208242216095</v>
          </cell>
        </row>
        <row r="477">
          <cell r="C477">
            <v>17.429437700000001</v>
          </cell>
          <cell r="G477">
            <v>1.0756162</v>
          </cell>
          <cell r="S477">
            <v>-1.3836430999999969</v>
          </cell>
          <cell r="T477">
            <v>4.7427507900731349</v>
          </cell>
        </row>
        <row r="478">
          <cell r="C478">
            <v>17.4795102</v>
          </cell>
          <cell r="G478">
            <v>1.0777043000000002</v>
          </cell>
          <cell r="S478">
            <v>-1.4337155999999993</v>
          </cell>
          <cell r="T478">
            <v>4.7297135791522082</v>
          </cell>
        </row>
        <row r="479">
          <cell r="C479">
            <v>17.529582700000002</v>
          </cell>
          <cell r="G479">
            <v>1.0797932399999999</v>
          </cell>
          <cell r="S479">
            <v>-1.4837880999999982</v>
          </cell>
          <cell r="T479">
            <v>4.7130567093697335</v>
          </cell>
        </row>
        <row r="480">
          <cell r="C480">
            <v>17.579655200000001</v>
          </cell>
          <cell r="G480">
            <v>1.0811234949999999</v>
          </cell>
          <cell r="S480">
            <v>-1.533860599999997</v>
          </cell>
          <cell r="T480">
            <v>4.6964156855534132</v>
          </cell>
        </row>
        <row r="481">
          <cell r="C481">
            <v>17.6297277</v>
          </cell>
          <cell r="G481">
            <v>1.0818643149999998</v>
          </cell>
          <cell r="S481">
            <v>-1.5839330999999994</v>
          </cell>
          <cell r="T481">
            <v>4.6767479031398134</v>
          </cell>
        </row>
        <row r="482">
          <cell r="C482">
            <v>17.679800200000003</v>
          </cell>
          <cell r="G482">
            <v>1.082643875</v>
          </cell>
          <cell r="S482">
            <v>-1.6340055999999983</v>
          </cell>
          <cell r="T482">
            <v>4.6570233901690212</v>
          </cell>
        </row>
        <row r="483">
          <cell r="C483">
            <v>17.729872700000001</v>
          </cell>
          <cell r="G483">
            <v>1.0832807500000001</v>
          </cell>
          <cell r="S483">
            <v>-1.6840780999999971</v>
          </cell>
          <cell r="T483">
            <v>4.6344112871393506</v>
          </cell>
        </row>
        <row r="484">
          <cell r="C484">
            <v>17.7799452</v>
          </cell>
          <cell r="G484">
            <v>1.08278929</v>
          </cell>
          <cell r="S484">
            <v>-1.7341505999999995</v>
          </cell>
          <cell r="T484">
            <v>4.611815257976728</v>
          </cell>
        </row>
        <row r="485">
          <cell r="C485">
            <v>17.830017700000003</v>
          </cell>
          <cell r="G485">
            <v>1.082284255</v>
          </cell>
          <cell r="S485">
            <v>-1.7842230999999984</v>
          </cell>
          <cell r="T485">
            <v>4.5865666121905244</v>
          </cell>
        </row>
        <row r="486">
          <cell r="C486">
            <v>17.880090300000003</v>
          </cell>
          <cell r="G486">
            <v>1.08241677</v>
          </cell>
          <cell r="S486">
            <v>-1.8342955999999973</v>
          </cell>
          <cell r="T486">
            <v>4.5611021010815183</v>
          </cell>
        </row>
        <row r="487">
          <cell r="C487">
            <v>17.930162800000002</v>
          </cell>
          <cell r="G487">
            <v>1.0829741199999998</v>
          </cell>
          <cell r="S487">
            <v>-1.8843680999999997</v>
          </cell>
          <cell r="T487">
            <v>4.533270159817353</v>
          </cell>
        </row>
        <row r="488">
          <cell r="C488">
            <v>17.9802353</v>
          </cell>
          <cell r="G488">
            <v>1.0835315049999998</v>
          </cell>
          <cell r="S488">
            <v>-1.9344405999999985</v>
          </cell>
          <cell r="T488">
            <v>4.5052489257439836</v>
          </cell>
        </row>
        <row r="489">
          <cell r="C489">
            <v>18.030307800000003</v>
          </cell>
          <cell r="G489">
            <v>1.084088905</v>
          </cell>
          <cell r="S489">
            <v>-1.9845131999999985</v>
          </cell>
          <cell r="T489">
            <v>4.4751954107008025</v>
          </cell>
        </row>
        <row r="490">
          <cell r="C490">
            <v>18.080380300000002</v>
          </cell>
          <cell r="G490">
            <v>1.08464633</v>
          </cell>
          <cell r="S490">
            <v>-2.0345856999999974</v>
          </cell>
          <cell r="T490">
            <v>4.4446227046229527</v>
          </cell>
        </row>
        <row r="491">
          <cell r="C491">
            <v>18.1304528</v>
          </cell>
          <cell r="G491">
            <v>1.085398155</v>
          </cell>
          <cell r="S491">
            <v>-2.0846581999999998</v>
          </cell>
          <cell r="T491">
            <v>4.412435383122129</v>
          </cell>
        </row>
        <row r="492">
          <cell r="C492">
            <v>18.180525300000003</v>
          </cell>
          <cell r="G492">
            <v>1.0860475950000001</v>
          </cell>
          <cell r="S492">
            <v>-2.1347306999999986</v>
          </cell>
          <cell r="T492">
            <v>4.3795793060393571</v>
          </cell>
        </row>
        <row r="493">
          <cell r="C493">
            <v>18.230597800000002</v>
          </cell>
          <cell r="G493">
            <v>1.08669707</v>
          </cell>
          <cell r="S493">
            <v>-2.1848031999999975</v>
          </cell>
          <cell r="T493">
            <v>4.3454199967186158</v>
          </cell>
        </row>
        <row r="494">
          <cell r="C494">
            <v>18.280670300000001</v>
          </cell>
          <cell r="G494">
            <v>1.087346575</v>
          </cell>
          <cell r="S494">
            <v>-2.2348756999999999</v>
          </cell>
          <cell r="T494">
            <v>4.310863240304764</v>
          </cell>
        </row>
        <row r="495">
          <cell r="C495">
            <v>18.330742800000003</v>
          </cell>
          <cell r="G495">
            <v>1.0879961150000002</v>
          </cell>
          <cell r="S495">
            <v>-2.2849481999999988</v>
          </cell>
          <cell r="T495">
            <v>4.2749074373763856</v>
          </cell>
        </row>
        <row r="496">
          <cell r="C496">
            <v>18.380815300000002</v>
          </cell>
          <cell r="G496">
            <v>1.087807035</v>
          </cell>
          <cell r="S496">
            <v>-2.3350206999999976</v>
          </cell>
          <cell r="T496">
            <v>4.2386518149330144</v>
          </cell>
        </row>
        <row r="497">
          <cell r="C497">
            <v>18.430887800000001</v>
          </cell>
          <cell r="G497">
            <v>1.0871187550000001</v>
          </cell>
          <cell r="S497">
            <v>-2.3850932</v>
          </cell>
          <cell r="T497">
            <v>4.2009323955198754</v>
          </cell>
        </row>
        <row r="498">
          <cell r="C498">
            <v>18.480960300000003</v>
          </cell>
          <cell r="G498">
            <v>1.086430475</v>
          </cell>
          <cell r="S498">
            <v>-2.4351656999999989</v>
          </cell>
          <cell r="T498">
            <v>4.1631520908075128</v>
          </cell>
        </row>
        <row r="499">
          <cell r="C499">
            <v>18.531032800000002</v>
          </cell>
          <cell r="G499">
            <v>1.0857421949999999</v>
          </cell>
          <cell r="S499">
            <v>-2.4852381999999977</v>
          </cell>
          <cell r="T499">
            <v>4.1242454400091804</v>
          </cell>
        </row>
        <row r="500">
          <cell r="C500">
            <v>18.581105300000001</v>
          </cell>
          <cell r="G500">
            <v>1.08505392</v>
          </cell>
          <cell r="S500">
            <v>-2.5353107000000001</v>
          </cell>
          <cell r="T500">
            <v>4.0849821347105744</v>
          </cell>
        </row>
        <row r="501">
          <cell r="C501">
            <v>18.6311778</v>
          </cell>
          <cell r="G501">
            <v>1.084573775</v>
          </cell>
          <cell r="S501">
            <v>-2.585383199999999</v>
          </cell>
          <cell r="T501">
            <v>4.0449642258408627</v>
          </cell>
        </row>
        <row r="502">
          <cell r="C502">
            <v>18.6812504</v>
          </cell>
          <cell r="G502">
            <v>1.0845684250000001</v>
          </cell>
          <cell r="S502">
            <v>-2.6354556999999978</v>
          </cell>
          <cell r="T502">
            <v>4.0042087344807227</v>
          </cell>
        </row>
        <row r="503">
          <cell r="C503">
            <v>18.731322900000002</v>
          </cell>
          <cell r="G503">
            <v>1.0845630750000002</v>
          </cell>
          <cell r="S503">
            <v>-2.6855282000000003</v>
          </cell>
          <cell r="T503">
            <v>3.9629964577719048</v>
          </cell>
        </row>
        <row r="504">
          <cell r="C504">
            <v>18.781395400000001</v>
          </cell>
          <cell r="G504">
            <v>1.084557725</v>
          </cell>
          <cell r="S504">
            <v>-2.7356008000000003</v>
          </cell>
          <cell r="T504">
            <v>3.9211173889157349</v>
          </cell>
        </row>
        <row r="505">
          <cell r="C505">
            <v>18.8314679</v>
          </cell>
          <cell r="G505">
            <v>1.0845523799999999</v>
          </cell>
          <cell r="S505">
            <v>-2.7856732999999991</v>
          </cell>
          <cell r="T505">
            <v>3.8786202294445986</v>
          </cell>
        </row>
        <row r="506">
          <cell r="C506">
            <v>18.881540400000002</v>
          </cell>
          <cell r="G506">
            <v>1.0849363649999999</v>
          </cell>
          <cell r="S506">
            <v>-2.835745799999998</v>
          </cell>
          <cell r="T506">
            <v>3.8356200413707073</v>
          </cell>
        </row>
        <row r="507">
          <cell r="C507">
            <v>18.931612900000001</v>
          </cell>
          <cell r="G507">
            <v>1.0850356999999999</v>
          </cell>
          <cell r="S507">
            <v>-2.8858182999999968</v>
          </cell>
          <cell r="T507">
            <v>3.7921982564543431</v>
          </cell>
        </row>
        <row r="508">
          <cell r="C508">
            <v>18.9816854</v>
          </cell>
          <cell r="G508">
            <v>1.0851350550000001</v>
          </cell>
          <cell r="S508">
            <v>-2.9358907999999992</v>
          </cell>
          <cell r="T508">
            <v>3.7481331729421616</v>
          </cell>
        </row>
        <row r="509">
          <cell r="C509">
            <v>19.031757900000002</v>
          </cell>
          <cell r="G509">
            <v>1.0852344299999999</v>
          </cell>
          <cell r="S509">
            <v>-2.9859632999999981</v>
          </cell>
          <cell r="T509">
            <v>3.7037087118684267</v>
          </cell>
        </row>
        <row r="510">
          <cell r="C510">
            <v>19.081830400000001</v>
          </cell>
          <cell r="G510">
            <v>1.0853338299999999</v>
          </cell>
          <cell r="S510">
            <v>-3.036035799999997</v>
          </cell>
          <cell r="T510">
            <v>3.6586249137126914</v>
          </cell>
        </row>
        <row r="511">
          <cell r="C511">
            <v>19.1319029</v>
          </cell>
          <cell r="G511">
            <v>1.0852372850000001</v>
          </cell>
          <cell r="S511">
            <v>-3.0861082999999994</v>
          </cell>
          <cell r="T511">
            <v>3.6132014092004976</v>
          </cell>
        </row>
        <row r="512">
          <cell r="C512">
            <v>19.181975400000002</v>
          </cell>
          <cell r="G512">
            <v>1.08541581</v>
          </cell>
          <cell r="S512">
            <v>-3.1361807999999982</v>
          </cell>
          <cell r="T512">
            <v>3.5670989404923601</v>
          </cell>
        </row>
        <row r="513">
          <cell r="C513">
            <v>19.232047900000001</v>
          </cell>
          <cell r="G513">
            <v>1.085748645</v>
          </cell>
          <cell r="S513">
            <v>-3.1862532999999971</v>
          </cell>
          <cell r="T513">
            <v>3.5208063769597744</v>
          </cell>
        </row>
        <row r="514">
          <cell r="C514">
            <v>19.2821204</v>
          </cell>
          <cell r="G514">
            <v>1.0860815349999999</v>
          </cell>
          <cell r="S514">
            <v>-3.2363257999999995</v>
          </cell>
          <cell r="T514">
            <v>3.473812851888721</v>
          </cell>
        </row>
        <row r="515">
          <cell r="C515">
            <v>19.332192900000003</v>
          </cell>
          <cell r="G515">
            <v>1.0864144850000002</v>
          </cell>
          <cell r="S515">
            <v>-3.2863982999999983</v>
          </cell>
          <cell r="T515">
            <v>3.4267779749635743</v>
          </cell>
        </row>
        <row r="516">
          <cell r="C516">
            <v>19.382265400000001</v>
          </cell>
          <cell r="G516">
            <v>1.0867237949999999</v>
          </cell>
          <cell r="S516">
            <v>-3.3364707999999972</v>
          </cell>
          <cell r="T516">
            <v>3.3790570545646679</v>
          </cell>
        </row>
        <row r="517">
          <cell r="C517">
            <v>19.432338000000001</v>
          </cell>
          <cell r="G517">
            <v>1.0868252249999999</v>
          </cell>
          <cell r="S517">
            <v>-3.3865432999999996</v>
          </cell>
          <cell r="T517">
            <v>3.3312828079782943</v>
          </cell>
        </row>
        <row r="518">
          <cell r="C518">
            <v>19.4824105</v>
          </cell>
          <cell r="G518">
            <v>1.0866407200000001</v>
          </cell>
          <cell r="S518">
            <v>-3.4366157999999984</v>
          </cell>
          <cell r="T518">
            <v>3.2828586280144392</v>
          </cell>
        </row>
        <row r="519">
          <cell r="C519">
            <v>19.532483000000003</v>
          </cell>
          <cell r="G519">
            <v>1.0864564049999998</v>
          </cell>
          <cell r="S519">
            <v>-3.4866883999999985</v>
          </cell>
          <cell r="T519">
            <v>3.2343751489803951</v>
          </cell>
        </row>
        <row r="520">
          <cell r="C520">
            <v>19.582555500000002</v>
          </cell>
          <cell r="G520">
            <v>1.0862722900000001</v>
          </cell>
          <cell r="S520">
            <v>-3.5367608999999973</v>
          </cell>
          <cell r="T520">
            <v>3.1853356320478734</v>
          </cell>
        </row>
        <row r="521">
          <cell r="C521">
            <v>19.632628</v>
          </cell>
          <cell r="G521">
            <v>1.0860252450000001</v>
          </cell>
          <cell r="S521">
            <v>-3.5868333999999997</v>
          </cell>
          <cell r="T521">
            <v>3.1361462838082783</v>
          </cell>
        </row>
        <row r="522">
          <cell r="C522">
            <v>19.682700500000003</v>
          </cell>
          <cell r="G522">
            <v>1.08579458</v>
          </cell>
          <cell r="S522">
            <v>-3.6369058999999986</v>
          </cell>
          <cell r="T522">
            <v>3.0864902040037059</v>
          </cell>
        </row>
        <row r="523">
          <cell r="C523">
            <v>19.732773000000002</v>
          </cell>
          <cell r="G523">
            <v>1.085984815</v>
          </cell>
          <cell r="S523">
            <v>-3.6869783999999974</v>
          </cell>
          <cell r="T523">
            <v>3.0366686125798292</v>
          </cell>
        </row>
        <row r="524">
          <cell r="C524">
            <v>19.782845500000001</v>
          </cell>
          <cell r="G524">
            <v>1.08617663</v>
          </cell>
          <cell r="S524">
            <v>-3.7370508999999998</v>
          </cell>
          <cell r="T524">
            <v>2.9863342135006601</v>
          </cell>
        </row>
        <row r="525">
          <cell r="C525">
            <v>19.832918000000003</v>
          </cell>
          <cell r="G525">
            <v>1.0863700300000001</v>
          </cell>
          <cell r="S525">
            <v>-3.7871233999999987</v>
          </cell>
          <cell r="T525">
            <v>2.9359704146133465</v>
          </cell>
        </row>
        <row r="526">
          <cell r="C526">
            <v>19.882990500000002</v>
          </cell>
          <cell r="G526">
            <v>1.0864093800000001</v>
          </cell>
          <cell r="S526">
            <v>-3.8371958999999976</v>
          </cell>
          <cell r="T526">
            <v>2.8850691954050567</v>
          </cell>
        </row>
        <row r="527">
          <cell r="C527">
            <v>19.933063000000001</v>
          </cell>
          <cell r="G527">
            <v>1.0863765750000001</v>
          </cell>
          <cell r="S527">
            <v>-3.8872684</v>
          </cell>
          <cell r="T527">
            <v>2.8341817672698277</v>
          </cell>
        </row>
        <row r="528">
          <cell r="C528">
            <v>19.983135500000003</v>
          </cell>
          <cell r="G528">
            <v>1.0861018100000002</v>
          </cell>
          <cell r="S528">
            <v>-3.9373408999999988</v>
          </cell>
          <cell r="T528">
            <v>2.7827219023957714</v>
          </cell>
        </row>
        <row r="529">
          <cell r="C529">
            <v>20.033208000000002</v>
          </cell>
          <cell r="G529">
            <v>1.0857718599999999</v>
          </cell>
          <cell r="S529">
            <v>-3.9874133999999977</v>
          </cell>
          <cell r="T529">
            <v>2.7314115670178811</v>
          </cell>
        </row>
        <row r="530">
          <cell r="C530">
            <v>20.083280500000001</v>
          </cell>
          <cell r="G530">
            <v>1.0854498650000002</v>
          </cell>
          <cell r="S530">
            <v>-4.0374859000000001</v>
          </cell>
          <cell r="T530">
            <v>2.6794689489032213</v>
          </cell>
        </row>
        <row r="531">
          <cell r="C531">
            <v>20.133353000000003</v>
          </cell>
          <cell r="G531">
            <v>1.0845320899999999</v>
          </cell>
          <cell r="S531">
            <v>-4.0875583999999989</v>
          </cell>
          <cell r="T531">
            <v>2.6277425875118223</v>
          </cell>
        </row>
        <row r="532">
          <cell r="C532">
            <v>20.183425600000003</v>
          </cell>
          <cell r="G532">
            <v>1.0833499049999999</v>
          </cell>
          <cell r="S532">
            <v>-4.1376308999999978</v>
          </cell>
          <cell r="T532">
            <v>2.5753814353130595</v>
          </cell>
        </row>
        <row r="533">
          <cell r="C533">
            <v>20.233498100000002</v>
          </cell>
          <cell r="G533">
            <v>1.082691125</v>
          </cell>
          <cell r="S533">
            <v>-4.1877034000000002</v>
          </cell>
          <cell r="T533">
            <v>2.5234338424789007</v>
          </cell>
        </row>
        <row r="534">
          <cell r="C534">
            <v>20.283570600000001</v>
          </cell>
          <cell r="G534">
            <v>1.0826235450000001</v>
          </cell>
          <cell r="S534">
            <v>-4.2377760000000002</v>
          </cell>
          <cell r="T534">
            <v>2.4705904767781388</v>
          </cell>
        </row>
        <row r="535">
          <cell r="C535">
            <v>20.3336431</v>
          </cell>
          <cell r="G535">
            <v>1.0826448900000001</v>
          </cell>
          <cell r="S535">
            <v>-4.2878484999999991</v>
          </cell>
          <cell r="T535">
            <v>2.418478511031203</v>
          </cell>
        </row>
        <row r="536">
          <cell r="C536">
            <v>20.383715600000002</v>
          </cell>
          <cell r="G536">
            <v>1.0813787699999999</v>
          </cell>
          <cell r="S536">
            <v>-4.3379209999999979</v>
          </cell>
          <cell r="T536">
            <v>2.3649394272274735</v>
          </cell>
        </row>
        <row r="537">
          <cell r="C537">
            <v>20.433788100000001</v>
          </cell>
          <cell r="G537">
            <v>1.0796111549999998</v>
          </cell>
          <cell r="S537">
            <v>-4.3879935000000003</v>
          </cell>
          <cell r="T537">
            <v>2.3128205337980927</v>
          </cell>
        </row>
        <row r="538">
          <cell r="C538">
            <v>20.4838606</v>
          </cell>
          <cell r="G538">
            <v>1.07640275</v>
          </cell>
          <cell r="S538">
            <v>-4.4380659999999992</v>
          </cell>
          <cell r="T538">
            <v>2.2585432590476562</v>
          </cell>
        </row>
        <row r="539">
          <cell r="C539">
            <v>20.533933100000002</v>
          </cell>
          <cell r="G539">
            <v>1.0666156449999999</v>
          </cell>
          <cell r="S539">
            <v>-4.488138499999998</v>
          </cell>
          <cell r="T539">
            <v>2.2067999648651964</v>
          </cell>
        </row>
        <row r="540">
          <cell r="C540">
            <v>20.584005600000001</v>
          </cell>
          <cell r="G540">
            <v>1.0571126899999999</v>
          </cell>
          <cell r="S540">
            <v>-4.5382109999999969</v>
          </cell>
          <cell r="T540">
            <v>2.1529395843587911</v>
          </cell>
        </row>
        <row r="541">
          <cell r="C541">
            <v>20.6340781</v>
          </cell>
          <cell r="G541">
            <v>1.043784485</v>
          </cell>
          <cell r="S541">
            <v>-4.5882834999999993</v>
          </cell>
          <cell r="T541">
            <v>2.10155585230412</v>
          </cell>
        </row>
        <row r="542">
          <cell r="C542">
            <v>20.684150600000002</v>
          </cell>
          <cell r="G542">
            <v>1.02897602</v>
          </cell>
          <cell r="S542">
            <v>-4.6383559999999981</v>
          </cell>
          <cell r="T542">
            <v>2.0488904662552598</v>
          </cell>
        </row>
        <row r="543">
          <cell r="C543">
            <v>20.734223100000001</v>
          </cell>
          <cell r="G543">
            <v>1.0145023900000001</v>
          </cell>
          <cell r="S543">
            <v>-4.688428499999997</v>
          </cell>
          <cell r="T543">
            <v>1.9990365400014822</v>
          </cell>
        </row>
        <row r="544">
          <cell r="C544">
            <v>20.7842956</v>
          </cell>
          <cell r="G544">
            <v>0.99615428449999999</v>
          </cell>
          <cell r="S544">
            <v>-4.7385009999999994</v>
          </cell>
          <cell r="T544">
            <v>1.9475012635317013</v>
          </cell>
        </row>
        <row r="545">
          <cell r="C545">
            <v>20.834368100000002</v>
          </cell>
          <cell r="G545">
            <v>0.97743553100000002</v>
          </cell>
          <cell r="S545">
            <v>-4.7885734999999983</v>
          </cell>
          <cell r="T545">
            <v>1.8993568170139086</v>
          </cell>
        </row>
        <row r="546">
          <cell r="C546">
            <v>20.884440600000001</v>
          </cell>
          <cell r="G546">
            <v>0.956819278</v>
          </cell>
          <cell r="S546">
            <v>-4.8386459999999971</v>
          </cell>
          <cell r="T546">
            <v>1.8499344462028511</v>
          </cell>
        </row>
        <row r="547">
          <cell r="C547">
            <v>20.934513200000001</v>
          </cell>
          <cell r="G547">
            <v>0.93545610800000001</v>
          </cell>
          <cell r="S547">
            <v>-4.8887184999999995</v>
          </cell>
          <cell r="T547">
            <v>1.8037059131948003</v>
          </cell>
        </row>
        <row r="548">
          <cell r="C548">
            <v>20.9845857</v>
          </cell>
          <cell r="G548">
            <v>0.91422411400000003</v>
          </cell>
          <cell r="S548">
            <v>-4.9387909999999984</v>
          </cell>
          <cell r="T548">
            <v>1.7564060221126179</v>
          </cell>
        </row>
        <row r="549">
          <cell r="C549">
            <v>21.034658200000003</v>
          </cell>
          <cell r="G549">
            <v>0.89093203200000004</v>
          </cell>
          <cell r="S549">
            <v>-4.9888635999999984</v>
          </cell>
          <cell r="T549">
            <v>1.7125855280632114</v>
          </cell>
        </row>
        <row r="550">
          <cell r="C550">
            <v>21.084730700000001</v>
          </cell>
          <cell r="G550">
            <v>0.86613127249999999</v>
          </cell>
          <cell r="S550">
            <v>-5.0389360999999973</v>
          </cell>
          <cell r="T550">
            <v>1.6676174973668112</v>
          </cell>
        </row>
        <row r="551">
          <cell r="C551">
            <v>21.1348032</v>
          </cell>
          <cell r="G551">
            <v>0.84081344149999993</v>
          </cell>
          <cell r="S551">
            <v>-5.0890085999999997</v>
          </cell>
          <cell r="T551">
            <v>1.6261990684066836</v>
          </cell>
        </row>
        <row r="552">
          <cell r="C552">
            <v>21.184875700000003</v>
          </cell>
          <cell r="G552">
            <v>0.8153288540000001</v>
          </cell>
          <cell r="S552">
            <v>-5.1390810999999985</v>
          </cell>
          <cell r="T552">
            <v>1.5841789803806035</v>
          </cell>
        </row>
        <row r="553">
          <cell r="C553">
            <v>21.234948200000002</v>
          </cell>
          <cell r="G553">
            <v>0.78992978050000007</v>
          </cell>
          <cell r="S553">
            <v>-5.1891535999999974</v>
          </cell>
          <cell r="T553">
            <v>1.5453264290610758</v>
          </cell>
        </row>
        <row r="554">
          <cell r="C554">
            <v>21.2850207</v>
          </cell>
          <cell r="G554">
            <v>0.76502485500000006</v>
          </cell>
          <cell r="S554">
            <v>-5.2392260999999998</v>
          </cell>
          <cell r="T554">
            <v>1.506255184096241</v>
          </cell>
        </row>
        <row r="555">
          <cell r="C555">
            <v>21.335093200000003</v>
          </cell>
          <cell r="G555">
            <v>0.74122909100000001</v>
          </cell>
          <cell r="S555">
            <v>-5.2892985999999986</v>
          </cell>
          <cell r="T555">
            <v>1.4699938540567397</v>
          </cell>
        </row>
        <row r="556">
          <cell r="C556">
            <v>21.385165700000002</v>
          </cell>
          <cell r="G556">
            <v>0.71811417300000002</v>
          </cell>
          <cell r="S556">
            <v>-5.3393710999999975</v>
          </cell>
          <cell r="T556">
            <v>1.4336167038173544</v>
          </cell>
        </row>
        <row r="557">
          <cell r="C557">
            <v>21.435238200000001</v>
          </cell>
          <cell r="G557">
            <v>0.69526532200000002</v>
          </cell>
          <cell r="S557">
            <v>-5.3894435999999999</v>
          </cell>
          <cell r="T557">
            <v>1.3998611434837496</v>
          </cell>
        </row>
        <row r="558">
          <cell r="C558">
            <v>21.485310700000003</v>
          </cell>
          <cell r="G558">
            <v>0.67241946949999998</v>
          </cell>
          <cell r="S558">
            <v>-5.4395160999999987</v>
          </cell>
          <cell r="T558">
            <v>1.366047956109</v>
          </cell>
        </row>
        <row r="559">
          <cell r="C559">
            <v>21.535383200000002</v>
          </cell>
          <cell r="G559">
            <v>0.64957693750000001</v>
          </cell>
          <cell r="S559">
            <v>-5.4895885999999976</v>
          </cell>
          <cell r="T559">
            <v>1.3346659749195124</v>
          </cell>
        </row>
        <row r="560">
          <cell r="C560">
            <v>21.585455700000001</v>
          </cell>
          <cell r="G560">
            <v>0.62794999350000003</v>
          </cell>
          <cell r="S560">
            <v>-5.5396611</v>
          </cell>
          <cell r="T560">
            <v>1.3034447638349225</v>
          </cell>
        </row>
        <row r="561">
          <cell r="C561">
            <v>21.635528200000003</v>
          </cell>
          <cell r="G561">
            <v>0.60828080399999995</v>
          </cell>
          <cell r="S561">
            <v>-5.5897335999999989</v>
          </cell>
          <cell r="T561">
            <v>1.2744373917526346</v>
          </cell>
        </row>
        <row r="562">
          <cell r="C562">
            <v>21.685600800000003</v>
          </cell>
          <cell r="G562">
            <v>0.58934219200000004</v>
          </cell>
          <cell r="S562">
            <v>-5.6398060999999977</v>
          </cell>
          <cell r="T562">
            <v>1.2455089184118842</v>
          </cell>
        </row>
        <row r="563">
          <cell r="C563">
            <v>21.735673300000002</v>
          </cell>
          <cell r="G563">
            <v>0.57040685049999995</v>
          </cell>
          <cell r="S563">
            <v>-5.6898786000000001</v>
          </cell>
          <cell r="T563">
            <v>1.2183417273789801</v>
          </cell>
        </row>
        <row r="564">
          <cell r="C564">
            <v>21.785745800000001</v>
          </cell>
          <cell r="G564">
            <v>0.55147510600000005</v>
          </cell>
          <cell r="S564">
            <v>-5.7399512000000001</v>
          </cell>
          <cell r="T564">
            <v>1.1917065680516157</v>
          </cell>
        </row>
        <row r="565">
          <cell r="C565">
            <v>21.8358183</v>
          </cell>
          <cell r="G565">
            <v>0.53517454500000006</v>
          </cell>
          <cell r="S565">
            <v>-5.790023699999999</v>
          </cell>
          <cell r="T565">
            <v>1.1663058045537116</v>
          </cell>
        </row>
        <row r="566">
          <cell r="C566">
            <v>21.885890800000002</v>
          </cell>
          <cell r="G566">
            <v>0.52097827249999995</v>
          </cell>
          <cell r="S566">
            <v>-5.8400961999999979</v>
          </cell>
          <cell r="T566">
            <v>1.141659605091554</v>
          </cell>
        </row>
        <row r="567">
          <cell r="C567">
            <v>21.935963300000001</v>
          </cell>
          <cell r="G567">
            <v>0.50706786399999992</v>
          </cell>
          <cell r="S567">
            <v>-5.8901687000000003</v>
          </cell>
          <cell r="T567">
            <v>1.1179323566431554</v>
          </cell>
        </row>
        <row r="568">
          <cell r="C568">
            <v>21.9860358</v>
          </cell>
          <cell r="G568">
            <v>0.49316181950000004</v>
          </cell>
          <cell r="S568">
            <v>-5.9402411999999991</v>
          </cell>
          <cell r="T568">
            <v>1.0946344813122084</v>
          </cell>
        </row>
        <row r="569">
          <cell r="C569">
            <v>22.036108300000002</v>
          </cell>
          <cell r="G569">
            <v>0.47926049949999999</v>
          </cell>
          <cell r="S569">
            <v>-5.990313699999998</v>
          </cell>
          <cell r="T569">
            <v>1.0724372000287665</v>
          </cell>
        </row>
        <row r="570">
          <cell r="C570">
            <v>22.086180800000001</v>
          </cell>
          <cell r="G570">
            <v>0.46535125099999997</v>
          </cell>
          <cell r="S570">
            <v>-6.0403861999999968</v>
          </cell>
          <cell r="T570">
            <v>1.0505053022248352</v>
          </cell>
        </row>
        <row r="571">
          <cell r="C571">
            <v>22.1362533</v>
          </cell>
          <cell r="G571">
            <v>0.4532266955</v>
          </cell>
          <cell r="S571">
            <v>-6.0904586999999992</v>
          </cell>
          <cell r="T571">
            <v>1.0298390652979394</v>
          </cell>
        </row>
        <row r="572">
          <cell r="C572">
            <v>22.186325800000002</v>
          </cell>
          <cell r="G572">
            <v>0.44174492249999997</v>
          </cell>
          <cell r="S572">
            <v>-6.1405311999999981</v>
          </cell>
          <cell r="T572">
            <v>1.0092976210539188</v>
          </cell>
        </row>
        <row r="573">
          <cell r="C573">
            <v>22.236398300000001</v>
          </cell>
          <cell r="G573">
            <v>0.43027157249999998</v>
          </cell>
          <cell r="S573">
            <v>-6.1906036999999969</v>
          </cell>
          <cell r="T573">
            <v>0.98966871646694043</v>
          </cell>
        </row>
        <row r="574">
          <cell r="C574">
            <v>22.2864708</v>
          </cell>
          <cell r="G574">
            <v>0.41880742999999998</v>
          </cell>
          <cell r="S574">
            <v>-6.2406761999999993</v>
          </cell>
          <cell r="T574">
            <v>0.97051710372864475</v>
          </cell>
        </row>
        <row r="575">
          <cell r="C575">
            <v>22.336543300000002</v>
          </cell>
          <cell r="G575">
            <v>0.40747208000000001</v>
          </cell>
          <cell r="S575">
            <v>-6.2907486999999982</v>
          </cell>
          <cell r="T575">
            <v>0.95186584156686693</v>
          </cell>
        </row>
        <row r="576">
          <cell r="C576">
            <v>22.386615800000001</v>
          </cell>
          <cell r="G576">
            <v>0.39744224</v>
          </cell>
          <cell r="S576">
            <v>-6.340821199999997</v>
          </cell>
          <cell r="T576">
            <v>0.93409671555877261</v>
          </cell>
        </row>
        <row r="577">
          <cell r="C577">
            <v>22.436688400000001</v>
          </cell>
          <cell r="G577">
            <v>0.3871631405</v>
          </cell>
          <cell r="S577">
            <v>-6.3908936999999995</v>
          </cell>
          <cell r="T577">
            <v>0.91651277697144939</v>
          </cell>
        </row>
        <row r="578">
          <cell r="C578">
            <v>22.4867609</v>
          </cell>
          <cell r="G578">
            <v>0.37737933950000002</v>
          </cell>
          <cell r="S578">
            <v>-6.4409661999999983</v>
          </cell>
          <cell r="T578">
            <v>0.89961742462274552</v>
          </cell>
        </row>
        <row r="579">
          <cell r="C579">
            <v>22.536833400000003</v>
          </cell>
          <cell r="G579">
            <v>0.36906449600000002</v>
          </cell>
          <cell r="S579">
            <v>-6.4910387999999983</v>
          </cell>
          <cell r="T579">
            <v>0.88319694717025543</v>
          </cell>
        </row>
        <row r="580">
          <cell r="C580">
            <v>22.586905900000001</v>
          </cell>
          <cell r="G580">
            <v>0.36075619800000003</v>
          </cell>
          <cell r="S580">
            <v>-6.5411112999999972</v>
          </cell>
          <cell r="T580">
            <v>0.86717297770020096</v>
          </cell>
        </row>
        <row r="581">
          <cell r="C581">
            <v>22.6369784</v>
          </cell>
          <cell r="G581">
            <v>0.35245306649999997</v>
          </cell>
          <cell r="S581">
            <v>-6.5911837999999996</v>
          </cell>
          <cell r="T581">
            <v>0.85150864342305344</v>
          </cell>
        </row>
        <row r="582">
          <cell r="C582">
            <v>22.687050900000003</v>
          </cell>
          <cell r="G582">
            <v>0.34415094550000003</v>
          </cell>
          <cell r="S582">
            <v>-6.6412562999999984</v>
          </cell>
          <cell r="T582">
            <v>0.8363448704587374</v>
          </cell>
        </row>
        <row r="583">
          <cell r="C583">
            <v>22.737123400000002</v>
          </cell>
          <cell r="G583">
            <v>0.33585037750000002</v>
          </cell>
          <cell r="S583">
            <v>-6.6913287999999973</v>
          </cell>
          <cell r="T583">
            <v>0.82142154658020972</v>
          </cell>
        </row>
        <row r="584">
          <cell r="C584">
            <v>22.7871959</v>
          </cell>
          <cell r="G584">
            <v>0.3275514725</v>
          </cell>
          <cell r="S584">
            <v>-6.7414012999999997</v>
          </cell>
          <cell r="T584">
            <v>0.80713003440442432</v>
          </cell>
        </row>
        <row r="585">
          <cell r="C585">
            <v>22.837268400000003</v>
          </cell>
          <cell r="G585">
            <v>0.31925435049999995</v>
          </cell>
          <cell r="S585">
            <v>-6.7914737999999986</v>
          </cell>
          <cell r="T585">
            <v>0.79295244133024112</v>
          </cell>
        </row>
        <row r="586">
          <cell r="C586">
            <v>22.887340900000002</v>
          </cell>
          <cell r="G586">
            <v>0.31177761549999999</v>
          </cell>
          <cell r="S586">
            <v>-6.8415462999999974</v>
          </cell>
          <cell r="T586">
            <v>0.77953499546055383</v>
          </cell>
        </row>
        <row r="587">
          <cell r="C587">
            <v>22.937413400000001</v>
          </cell>
          <cell r="G587">
            <v>0.30599031600000004</v>
          </cell>
          <cell r="S587">
            <v>-6.8916187999999998</v>
          </cell>
          <cell r="T587">
            <v>0.76603240096498149</v>
          </cell>
        </row>
        <row r="588">
          <cell r="C588">
            <v>22.987485900000003</v>
          </cell>
          <cell r="G588">
            <v>0.30020414200000001</v>
          </cell>
          <cell r="S588">
            <v>-6.9416912999999987</v>
          </cell>
          <cell r="T588">
            <v>0.75327853347593732</v>
          </cell>
        </row>
        <row r="589">
          <cell r="C589">
            <v>23.037558400000002</v>
          </cell>
          <cell r="G589">
            <v>0.2944191585</v>
          </cell>
          <cell r="S589">
            <v>-6.9917637999999975</v>
          </cell>
          <cell r="T589">
            <v>0.74034409868693685</v>
          </cell>
        </row>
        <row r="590">
          <cell r="C590">
            <v>23.087630900000001</v>
          </cell>
          <cell r="G590">
            <v>0.288635435</v>
          </cell>
          <cell r="S590">
            <v>-7.0418362999999999</v>
          </cell>
          <cell r="T590">
            <v>0.72807163743867198</v>
          </cell>
        </row>
        <row r="591">
          <cell r="C591">
            <v>23.137703400000003</v>
          </cell>
          <cell r="G591">
            <v>0.28294146249999996</v>
          </cell>
          <cell r="S591">
            <v>-7.0919087999999988</v>
          </cell>
          <cell r="T591">
            <v>0.71570585749227111</v>
          </cell>
        </row>
        <row r="592">
          <cell r="C592">
            <v>23.187776000000003</v>
          </cell>
          <cell r="G592">
            <v>0.27726029200000002</v>
          </cell>
          <cell r="S592">
            <v>-7.1419812999999976</v>
          </cell>
          <cell r="T592">
            <v>0.70391998862039207</v>
          </cell>
        </row>
        <row r="593">
          <cell r="C593">
            <v>23.237848500000002</v>
          </cell>
          <cell r="G593">
            <v>0.27156631250000002</v>
          </cell>
          <cell r="S593">
            <v>-7.1920538000000001</v>
          </cell>
          <cell r="T593">
            <v>0.69209948720683401</v>
          </cell>
        </row>
        <row r="594">
          <cell r="C594">
            <v>23.287921000000001</v>
          </cell>
          <cell r="G594">
            <v>0.26587400999999999</v>
          </cell>
          <cell r="S594">
            <v>-7.2421264000000001</v>
          </cell>
          <cell r="T594">
            <v>0.68082163975529819</v>
          </cell>
        </row>
        <row r="595">
          <cell r="C595">
            <v>23.337993500000003</v>
          </cell>
          <cell r="G595">
            <v>0.2601834945</v>
          </cell>
          <cell r="S595">
            <v>-7.2921988999999989</v>
          </cell>
          <cell r="T595">
            <v>0.66954447538940098</v>
          </cell>
        </row>
        <row r="596">
          <cell r="C596">
            <v>23.388066000000002</v>
          </cell>
          <cell r="G596">
            <v>0.25495286449999999</v>
          </cell>
          <cell r="S596">
            <v>-7.3422713999999978</v>
          </cell>
          <cell r="T596">
            <v>0.65877586652198772</v>
          </cell>
        </row>
        <row r="597">
          <cell r="C597">
            <v>23.438138500000001</v>
          </cell>
          <cell r="G597">
            <v>0.24985655149999997</v>
          </cell>
          <cell r="S597">
            <v>-7.3923439000000002</v>
          </cell>
          <cell r="T597">
            <v>0.64798751858024506</v>
          </cell>
        </row>
        <row r="598">
          <cell r="C598">
            <v>23.488211</v>
          </cell>
          <cell r="G598">
            <v>0.24539741900000001</v>
          </cell>
          <cell r="S598">
            <v>-7.442416399999999</v>
          </cell>
          <cell r="T598">
            <v>0.6376968196522429</v>
          </cell>
        </row>
        <row r="599">
          <cell r="C599">
            <v>23.538283500000002</v>
          </cell>
          <cell r="G599">
            <v>0.24100965699999999</v>
          </cell>
          <cell r="S599">
            <v>-7.4924888999999979</v>
          </cell>
          <cell r="T599">
            <v>0.62731165965637481</v>
          </cell>
        </row>
        <row r="600">
          <cell r="C600">
            <v>23.588356000000001</v>
          </cell>
          <cell r="G600">
            <v>0.23662279650000001</v>
          </cell>
          <cell r="S600">
            <v>-7.5425614000000003</v>
          </cell>
          <cell r="T600">
            <v>0.61730682094250133</v>
          </cell>
        </row>
        <row r="601">
          <cell r="C601">
            <v>23.6384285</v>
          </cell>
          <cell r="G601">
            <v>0.23247544549999999</v>
          </cell>
          <cell r="S601">
            <v>-7.5926338999999992</v>
          </cell>
          <cell r="T601">
            <v>0.60732521110295012</v>
          </cell>
        </row>
        <row r="602">
          <cell r="C602">
            <v>23.688501000000002</v>
          </cell>
          <cell r="G602">
            <v>0.22839487750000001</v>
          </cell>
          <cell r="S602">
            <v>-7.642706399999998</v>
          </cell>
          <cell r="T602">
            <v>0.59763081184205757</v>
          </cell>
        </row>
        <row r="603">
          <cell r="C603">
            <v>23.738573500000001</v>
          </cell>
          <cell r="G603">
            <v>0.22439581049999999</v>
          </cell>
          <cell r="S603">
            <v>-7.6927788999999969</v>
          </cell>
          <cell r="T603">
            <v>0.58798720324973475</v>
          </cell>
        </row>
        <row r="604">
          <cell r="C604">
            <v>23.788646</v>
          </cell>
          <cell r="G604">
            <v>0.22060146949999998</v>
          </cell>
          <cell r="S604">
            <v>-7.7428513999999993</v>
          </cell>
          <cell r="T604">
            <v>0.57862427092969282</v>
          </cell>
        </row>
        <row r="605">
          <cell r="C605">
            <v>23.838718500000002</v>
          </cell>
          <cell r="G605">
            <v>0.21680723800000001</v>
          </cell>
          <cell r="S605">
            <v>-7.7929238999999981</v>
          </cell>
          <cell r="T605">
            <v>0.56930958772069828</v>
          </cell>
        </row>
        <row r="606">
          <cell r="C606">
            <v>23.888791000000001</v>
          </cell>
          <cell r="G606">
            <v>0.21317508800000001</v>
          </cell>
          <cell r="S606">
            <v>-7.842996399999997</v>
          </cell>
          <cell r="T606">
            <v>0.56022068639408296</v>
          </cell>
        </row>
        <row r="607">
          <cell r="C607">
            <v>23.938863600000001</v>
          </cell>
          <cell r="G607">
            <v>0.20958627499999999</v>
          </cell>
          <cell r="S607">
            <v>-7.8930688999999994</v>
          </cell>
          <cell r="T607">
            <v>0.55121579821468103</v>
          </cell>
        </row>
        <row r="608">
          <cell r="C608">
            <v>23.9889361</v>
          </cell>
          <cell r="G608">
            <v>0.20599780449999999</v>
          </cell>
          <cell r="S608">
            <v>-7.9431413999999982</v>
          </cell>
          <cell r="T608">
            <v>0.54238040605684368</v>
          </cell>
        </row>
        <row r="609">
          <cell r="C609">
            <v>24.039008600000003</v>
          </cell>
          <cell r="G609">
            <v>0.202382488</v>
          </cell>
          <cell r="S609">
            <v>-7.9932138999999971</v>
          </cell>
          <cell r="T609">
            <v>0.5336737508856616</v>
          </cell>
        </row>
        <row r="610">
          <cell r="C610">
            <v>24.089081100000001</v>
          </cell>
          <cell r="G610">
            <v>0.198753859</v>
          </cell>
          <cell r="S610">
            <v>-8.0432864999999971</v>
          </cell>
          <cell r="T610">
            <v>0.52507581035253581</v>
          </cell>
        </row>
        <row r="611">
          <cell r="C611">
            <v>24.1391536</v>
          </cell>
          <cell r="G611">
            <v>0.19545742399999999</v>
          </cell>
          <cell r="S611">
            <v>-8.0933589999999995</v>
          </cell>
          <cell r="T611">
            <v>0.51666876851422994</v>
          </cell>
        </row>
        <row r="612">
          <cell r="C612">
            <v>24.189226100000003</v>
          </cell>
          <cell r="G612">
            <v>0.192245476</v>
          </cell>
          <cell r="S612">
            <v>-8.1434314999999984</v>
          </cell>
          <cell r="T612">
            <v>0.50833531274410138</v>
          </cell>
        </row>
        <row r="613">
          <cell r="C613">
            <v>24.239298600000001</v>
          </cell>
          <cell r="G613">
            <v>0.189033589</v>
          </cell>
          <cell r="S613">
            <v>-8.1935039999999972</v>
          </cell>
          <cell r="T613">
            <v>0.50013465619877551</v>
          </cell>
        </row>
        <row r="614">
          <cell r="C614">
            <v>24.2893711</v>
          </cell>
          <cell r="G614">
            <v>0.18584537150000002</v>
          </cell>
          <cell r="S614">
            <v>-8.2435764999999996</v>
          </cell>
          <cell r="T614">
            <v>0.49209413899645299</v>
          </cell>
        </row>
        <row r="615">
          <cell r="C615">
            <v>24.339443600000003</v>
          </cell>
          <cell r="G615">
            <v>0.18310288899999999</v>
          </cell>
          <cell r="S615">
            <v>-8.2936489999999985</v>
          </cell>
          <cell r="T615">
            <v>0.48408471344621234</v>
          </cell>
        </row>
        <row r="616">
          <cell r="C616">
            <v>24.389516100000002</v>
          </cell>
          <cell r="G616">
            <v>0.180377969</v>
          </cell>
          <cell r="S616">
            <v>-8.3437214999999973</v>
          </cell>
          <cell r="T616">
            <v>0.47627939661307173</v>
          </cell>
        </row>
        <row r="617">
          <cell r="C617">
            <v>24.4395886</v>
          </cell>
          <cell r="G617">
            <v>0.17765761050000001</v>
          </cell>
          <cell r="S617">
            <v>-8.3937939999999998</v>
          </cell>
          <cell r="T617">
            <v>0.46845941984371675</v>
          </cell>
        </row>
        <row r="618">
          <cell r="C618">
            <v>24.489661100000003</v>
          </cell>
          <cell r="G618">
            <v>0.17493764150000002</v>
          </cell>
          <cell r="S618">
            <v>-8.4438664999999986</v>
          </cell>
          <cell r="T618">
            <v>0.46082597660640784</v>
          </cell>
        </row>
        <row r="619">
          <cell r="C619">
            <v>24.539733600000002</v>
          </cell>
          <cell r="G619">
            <v>0.17221807950000001</v>
          </cell>
          <cell r="S619">
            <v>-8.4939389999999975</v>
          </cell>
          <cell r="T619">
            <v>0.45319701640160059</v>
          </cell>
        </row>
        <row r="620">
          <cell r="C620">
            <v>24.589806100000001</v>
          </cell>
          <cell r="G620">
            <v>0.16947234649999998</v>
          </cell>
          <cell r="S620">
            <v>-8.5440114999999999</v>
          </cell>
          <cell r="T620">
            <v>0.445721910824743</v>
          </cell>
        </row>
        <row r="621">
          <cell r="C621">
            <v>24.639878600000003</v>
          </cell>
          <cell r="G621">
            <v>0.16689708250000002</v>
          </cell>
          <cell r="S621">
            <v>-8.5940839999999987</v>
          </cell>
          <cell r="T621">
            <v>0.4382854203078273</v>
          </cell>
        </row>
        <row r="622">
          <cell r="C622">
            <v>24.689951200000003</v>
          </cell>
          <cell r="G622">
            <v>0.1643694175</v>
          </cell>
          <cell r="S622">
            <v>-8.6441564999999976</v>
          </cell>
          <cell r="T622">
            <v>0.43096703050231394</v>
          </cell>
        </row>
        <row r="623">
          <cell r="C623">
            <v>24.740023700000002</v>
          </cell>
          <cell r="G623">
            <v>0.16184181850000001</v>
          </cell>
          <cell r="S623">
            <v>-8.694229</v>
          </cell>
          <cell r="T623">
            <v>0.42366893478670176</v>
          </cell>
        </row>
        <row r="624">
          <cell r="C624">
            <v>24.790096200000001</v>
          </cell>
          <cell r="G624">
            <v>0.159314289</v>
          </cell>
          <cell r="S624">
            <v>-8.7443014999999988</v>
          </cell>
          <cell r="T624">
            <v>0.41655522821874053</v>
          </cell>
        </row>
        <row r="625">
          <cell r="C625">
            <v>24.840168700000003</v>
          </cell>
          <cell r="G625">
            <v>0.15678683199999999</v>
          </cell>
          <cell r="S625">
            <v>-8.7943740999999989</v>
          </cell>
          <cell r="T625">
            <v>0.4093900425423036</v>
          </cell>
        </row>
        <row r="626">
          <cell r="C626">
            <v>24.890241200000002</v>
          </cell>
          <cell r="G626">
            <v>0.15439286600000002</v>
          </cell>
          <cell r="S626">
            <v>-8.8444465999999977</v>
          </cell>
          <cell r="T626">
            <v>0.40248425696613244</v>
          </cell>
        </row>
        <row r="627">
          <cell r="C627">
            <v>24.940313700000001</v>
          </cell>
          <cell r="G627">
            <v>0.1520289715</v>
          </cell>
          <cell r="S627">
            <v>-8.8945191000000001</v>
          </cell>
          <cell r="T627">
            <v>0.39545253928119728</v>
          </cell>
        </row>
        <row r="628">
          <cell r="C628">
            <v>24.9903862</v>
          </cell>
          <cell r="G628">
            <v>0.14966533650000002</v>
          </cell>
          <cell r="S628">
            <v>-8.944591599999999</v>
          </cell>
          <cell r="T628">
            <v>0.38870983260381725</v>
          </cell>
        </row>
        <row r="629">
          <cell r="C629">
            <v>25.040458700000002</v>
          </cell>
          <cell r="G629">
            <v>0.147301973</v>
          </cell>
          <cell r="S629">
            <v>-8.9946640999999978</v>
          </cell>
          <cell r="T629">
            <v>0.38183848362953737</v>
          </cell>
        </row>
        <row r="630">
          <cell r="C630">
            <v>25.090531200000001</v>
          </cell>
          <cell r="G630">
            <v>0.1449388945</v>
          </cell>
          <cell r="S630">
            <v>-9.0447366000000002</v>
          </cell>
          <cell r="T630">
            <v>0.37524328436798776</v>
          </cell>
        </row>
        <row r="631">
          <cell r="C631">
            <v>25.1406037</v>
          </cell>
          <cell r="G631">
            <v>0.14264681800000001</v>
          </cell>
          <cell r="S631">
            <v>-9.0948090999999991</v>
          </cell>
          <cell r="T631">
            <v>0.36853548236816513</v>
          </cell>
        </row>
        <row r="632">
          <cell r="C632">
            <v>25.190676200000002</v>
          </cell>
          <cell r="G632">
            <v>0.14047188599999999</v>
          </cell>
          <cell r="S632">
            <v>-9.1448815999999979</v>
          </cell>
          <cell r="T632">
            <v>0.36208806094213197</v>
          </cell>
        </row>
        <row r="633">
          <cell r="C633">
            <v>25.240748700000001</v>
          </cell>
          <cell r="G633">
            <v>0.13829705199999998</v>
          </cell>
          <cell r="S633">
            <v>-9.1949541000000004</v>
          </cell>
          <cell r="T633">
            <v>0.35551922912039563</v>
          </cell>
        </row>
        <row r="634">
          <cell r="C634">
            <v>25.2908212</v>
          </cell>
          <cell r="G634">
            <v>0.13612232200000002</v>
          </cell>
          <cell r="S634">
            <v>-9.2450265999999992</v>
          </cell>
          <cell r="T634">
            <v>0.34920665469566725</v>
          </cell>
        </row>
        <row r="635">
          <cell r="C635">
            <v>25.340893700000002</v>
          </cell>
          <cell r="G635">
            <v>0.1339477</v>
          </cell>
          <cell r="S635">
            <v>-9.2950990999999981</v>
          </cell>
          <cell r="T635">
            <v>0.34276014699523716</v>
          </cell>
        </row>
        <row r="636">
          <cell r="C636">
            <v>25.390966200000001</v>
          </cell>
          <cell r="G636">
            <v>0.13185693799999998</v>
          </cell>
          <cell r="S636">
            <v>-9.3451715999999969</v>
          </cell>
          <cell r="T636">
            <v>0.33658860126023721</v>
          </cell>
        </row>
        <row r="637">
          <cell r="C637">
            <v>25.441038800000001</v>
          </cell>
          <cell r="G637">
            <v>0.129830999</v>
          </cell>
          <cell r="S637">
            <v>-9.3952440999999993</v>
          </cell>
          <cell r="T637">
            <v>0.33026354654177259</v>
          </cell>
        </row>
        <row r="638">
          <cell r="C638">
            <v>25.4911113</v>
          </cell>
          <cell r="G638">
            <v>0.12783937000000001</v>
          </cell>
          <cell r="S638">
            <v>-9.4453165999999982</v>
          </cell>
          <cell r="T638">
            <v>0.32423543712139336</v>
          </cell>
        </row>
        <row r="639">
          <cell r="C639">
            <v>25.541183800000002</v>
          </cell>
          <cell r="G639">
            <v>0.1258478935</v>
          </cell>
          <cell r="S639">
            <v>-9.495389099999997</v>
          </cell>
          <cell r="T639">
            <v>0.31805962877648641</v>
          </cell>
        </row>
        <row r="640">
          <cell r="C640">
            <v>25.591256300000001</v>
          </cell>
          <cell r="G640">
            <v>0.123856577</v>
          </cell>
          <cell r="S640">
            <v>-9.5454616999999971</v>
          </cell>
          <cell r="T640">
            <v>0.31217150848654035</v>
          </cell>
        </row>
        <row r="641">
          <cell r="C641">
            <v>25.6413288</v>
          </cell>
          <cell r="G641">
            <v>0.121926427</v>
          </cell>
          <cell r="S641">
            <v>-9.5955341999999995</v>
          </cell>
          <cell r="T641">
            <v>0.30615230277247824</v>
          </cell>
        </row>
        <row r="642">
          <cell r="C642">
            <v>25.691401300000003</v>
          </cell>
          <cell r="G642">
            <v>0.12000789100000001</v>
          </cell>
          <cell r="S642">
            <v>-9.6456066999999983</v>
          </cell>
          <cell r="T642">
            <v>0.30041533284363742</v>
          </cell>
        </row>
        <row r="643">
          <cell r="C643">
            <v>25.741473800000001</v>
          </cell>
          <cell r="G643">
            <v>0.1182503245</v>
          </cell>
          <cell r="S643">
            <v>-9.6956791999999972</v>
          </cell>
          <cell r="T643">
            <v>0.29451504901542908</v>
          </cell>
        </row>
        <row r="644">
          <cell r="C644">
            <v>25.7915463</v>
          </cell>
          <cell r="G644">
            <v>0.1164982475</v>
          </cell>
          <cell r="S644">
            <v>-9.7457516999999996</v>
          </cell>
          <cell r="T644">
            <v>0.2889258420254644</v>
          </cell>
        </row>
        <row r="645">
          <cell r="C645">
            <v>25.841618800000003</v>
          </cell>
          <cell r="G645">
            <v>0.114746211</v>
          </cell>
          <cell r="S645">
            <v>-9.7958241999999984</v>
          </cell>
          <cell r="T645">
            <v>0.28314298053032777</v>
          </cell>
        </row>
        <row r="646">
          <cell r="C646">
            <v>25.891691300000002</v>
          </cell>
          <cell r="G646">
            <v>0.11309454299999999</v>
          </cell>
          <cell r="S646">
            <v>-9.8458966999999973</v>
          </cell>
          <cell r="T646">
            <v>0.27769400753696832</v>
          </cell>
        </row>
        <row r="647">
          <cell r="C647">
            <v>25.9417638</v>
          </cell>
          <cell r="G647">
            <v>0.1114609575</v>
          </cell>
          <cell r="S647">
            <v>-9.8959691999999997</v>
          </cell>
          <cell r="T647">
            <v>0.27210225621661832</v>
          </cell>
        </row>
        <row r="648">
          <cell r="C648">
            <v>25.991836300000003</v>
          </cell>
          <cell r="G648">
            <v>0.109851529</v>
          </cell>
          <cell r="S648">
            <v>-9.9460416999999985</v>
          </cell>
          <cell r="T648">
            <v>0.26683050033410344</v>
          </cell>
        </row>
        <row r="649">
          <cell r="C649">
            <v>26.041908800000002</v>
          </cell>
          <cell r="G649">
            <v>0.10828681449999999</v>
          </cell>
          <cell r="S649">
            <v>-9.9961141999999974</v>
          </cell>
          <cell r="T649">
            <v>0.26141660903429892</v>
          </cell>
        </row>
        <row r="650">
          <cell r="C650">
            <v>26.0919813</v>
          </cell>
          <cell r="G650">
            <v>0.10672231600000001</v>
          </cell>
          <cell r="S650">
            <v>-10.0461867</v>
          </cell>
          <cell r="T650">
            <v>0.25634877265679012</v>
          </cell>
        </row>
        <row r="651">
          <cell r="C651">
            <v>26.142053800000003</v>
          </cell>
          <cell r="G651">
            <v>0.1051740675</v>
          </cell>
          <cell r="S651">
            <v>-10.096259199999999</v>
          </cell>
          <cell r="T651">
            <v>0.25113701135558031</v>
          </cell>
        </row>
        <row r="652">
          <cell r="C652">
            <v>26.192126400000003</v>
          </cell>
          <cell r="G652">
            <v>0.1036286775</v>
          </cell>
          <cell r="S652">
            <v>-10.146331699999998</v>
          </cell>
          <cell r="T652">
            <v>0.2462622588253453</v>
          </cell>
        </row>
        <row r="653">
          <cell r="C653">
            <v>26.242198900000002</v>
          </cell>
          <cell r="G653">
            <v>0.102083436</v>
          </cell>
          <cell r="S653">
            <v>-10.196404199999996</v>
          </cell>
          <cell r="T653">
            <v>0.24128892548026529</v>
          </cell>
        </row>
        <row r="654">
          <cell r="C654">
            <v>26.292271400000001</v>
          </cell>
          <cell r="G654">
            <v>0.100475947</v>
          </cell>
          <cell r="S654">
            <v>-10.246476699999995</v>
          </cell>
          <cell r="T654">
            <v>0.23665635559772419</v>
          </cell>
        </row>
        <row r="655">
          <cell r="C655">
            <v>26.342343900000003</v>
          </cell>
          <cell r="G655">
            <v>9.8846098100000002E-2</v>
          </cell>
          <cell r="S655">
            <v>-10.296549299999995</v>
          </cell>
          <cell r="T655">
            <v>0.23196858669705536</v>
          </cell>
        </row>
        <row r="656">
          <cell r="C656">
            <v>26.392416400000002</v>
          </cell>
          <cell r="G656">
            <v>9.7269361750000005E-2</v>
          </cell>
          <cell r="S656">
            <v>-10.346621800000001</v>
          </cell>
          <cell r="T656">
            <v>0.22761256759007978</v>
          </cell>
        </row>
        <row r="657">
          <cell r="C657">
            <v>26.442488900000001</v>
          </cell>
          <cell r="G657">
            <v>9.5701464250000007E-2</v>
          </cell>
          <cell r="S657">
            <v>-10.3966943</v>
          </cell>
          <cell r="T657">
            <v>0.22323119269407979</v>
          </cell>
        </row>
        <row r="658">
          <cell r="C658">
            <v>26.492561400000003</v>
          </cell>
          <cell r="G658">
            <v>9.4134005549999997E-2</v>
          </cell>
          <cell r="S658">
            <v>-10.446766799999999</v>
          </cell>
          <cell r="T658">
            <v>0.21921606841386077</v>
          </cell>
        </row>
        <row r="659">
          <cell r="C659">
            <v>26.542633900000002</v>
          </cell>
          <cell r="G659">
            <v>9.2581142549999995E-2</v>
          </cell>
          <cell r="S659">
            <v>-10.496839299999998</v>
          </cell>
          <cell r="T659">
            <v>0.21520830054473622</v>
          </cell>
        </row>
        <row r="660">
          <cell r="C660">
            <v>26.592706400000001</v>
          </cell>
          <cell r="G660">
            <v>9.1135042450000009E-2</v>
          </cell>
          <cell r="S660">
            <v>-10.546911799999997</v>
          </cell>
          <cell r="T660">
            <v>0.2115846430563243</v>
          </cell>
        </row>
        <row r="661">
          <cell r="C661">
            <v>26.6427789</v>
          </cell>
          <cell r="G661">
            <v>8.9718245050000006E-2</v>
          </cell>
          <cell r="S661">
            <v>-10.596984299999995</v>
          </cell>
          <cell r="T661">
            <v>0.20796222944036569</v>
          </cell>
        </row>
        <row r="662">
          <cell r="C662">
            <v>26.692851400000002</v>
          </cell>
          <cell r="G662">
            <v>8.8306319750000001E-2</v>
          </cell>
          <cell r="S662">
            <v>-10.647056800000001</v>
          </cell>
          <cell r="T662">
            <v>0.20467597648317395</v>
          </cell>
        </row>
        <row r="663">
          <cell r="C663">
            <v>26.742923900000001</v>
          </cell>
          <cell r="G663">
            <v>8.6894980199999999E-2</v>
          </cell>
          <cell r="S663">
            <v>-10.6971293</v>
          </cell>
          <cell r="T663">
            <v>0.20147515975735411</v>
          </cell>
        </row>
        <row r="664">
          <cell r="C664">
            <v>26.7929964</v>
          </cell>
          <cell r="G664">
            <v>8.548425535000001E-2</v>
          </cell>
          <cell r="S664">
            <v>-10.747201799999999</v>
          </cell>
          <cell r="T664">
            <v>0.19862452401030833</v>
          </cell>
        </row>
        <row r="665">
          <cell r="C665">
            <v>26.843068900000002</v>
          </cell>
          <cell r="G665">
            <v>8.4119450449999994E-2</v>
          </cell>
          <cell r="S665">
            <v>-10.797274299999998</v>
          </cell>
          <cell r="T665">
            <v>0.1958925842268342</v>
          </cell>
        </row>
        <row r="666">
          <cell r="C666">
            <v>26.893141400000001</v>
          </cell>
          <cell r="G666">
            <v>8.2807997299999991E-2</v>
          </cell>
          <cell r="S666">
            <v>-10.847346799999997</v>
          </cell>
          <cell r="T666">
            <v>0.1934760046272633</v>
          </cell>
        </row>
        <row r="667">
          <cell r="C667">
            <v>26.9432139</v>
          </cell>
          <cell r="G667">
            <v>8.1498374849999999E-2</v>
          </cell>
          <cell r="S667">
            <v>-10.897419299999996</v>
          </cell>
          <cell r="T667">
            <v>0.19122022578738526</v>
          </cell>
        </row>
        <row r="668">
          <cell r="C668">
            <v>26.9932865</v>
          </cell>
          <cell r="G668">
            <v>8.0189556450000005E-2</v>
          </cell>
          <cell r="S668">
            <v>-10.947491800000002</v>
          </cell>
          <cell r="T668">
            <v>0.18920402662600239</v>
          </cell>
        </row>
        <row r="669">
          <cell r="C669">
            <v>27.043359000000002</v>
          </cell>
          <cell r="G669">
            <v>7.8881584599999999E-2</v>
          </cell>
          <cell r="S669">
            <v>-10.997564300000001</v>
          </cell>
          <cell r="T669">
            <v>0.1876696161650038</v>
          </cell>
        </row>
        <row r="670">
          <cell r="C670">
            <v>27.093431500000001</v>
          </cell>
          <cell r="G670">
            <v>7.7574504749999995E-2</v>
          </cell>
          <cell r="S670">
            <v>-11.047636900000001</v>
          </cell>
          <cell r="T670">
            <v>0.18604138891537952</v>
          </cell>
        </row>
        <row r="671">
          <cell r="C671">
            <v>27.143504</v>
          </cell>
          <cell r="G671">
            <v>7.6015812300000013E-2</v>
          </cell>
          <cell r="S671">
            <v>-11.097709399999999</v>
          </cell>
          <cell r="T671">
            <v>0.18525511675568931</v>
          </cell>
        </row>
        <row r="672">
          <cell r="C672">
            <v>27.193576500000002</v>
          </cell>
          <cell r="G672">
            <v>7.4429796900000011E-2</v>
          </cell>
          <cell r="S672">
            <v>-11.147781899999998</v>
          </cell>
          <cell r="T672">
            <v>0.18405340446977483</v>
          </cell>
        </row>
        <row r="673">
          <cell r="C673">
            <v>27.243649000000001</v>
          </cell>
          <cell r="G673">
            <v>7.2914327700000003E-2</v>
          </cell>
          <cell r="S673">
            <v>-11.197854399999997</v>
          </cell>
          <cell r="T673">
            <v>0.18395504453386566</v>
          </cell>
        </row>
        <row r="674">
          <cell r="C674">
            <v>27.2937215</v>
          </cell>
          <cell r="G674">
            <v>7.1503030800000006E-2</v>
          </cell>
        </row>
        <row r="675">
          <cell r="C675">
            <v>27.343794000000003</v>
          </cell>
          <cell r="G675">
            <v>7.0093171499999996E-2</v>
          </cell>
        </row>
        <row r="676">
          <cell r="C676">
            <v>27.393866500000001</v>
          </cell>
          <cell r="G676">
            <v>6.879554974999999E-2</v>
          </cell>
        </row>
        <row r="677">
          <cell r="C677">
            <v>27.443939</v>
          </cell>
          <cell r="G677">
            <v>6.7512170900000001E-2</v>
          </cell>
        </row>
        <row r="678">
          <cell r="C678">
            <v>27.494011500000003</v>
          </cell>
          <cell r="G678">
            <v>6.6229546850000001E-2</v>
          </cell>
        </row>
        <row r="679">
          <cell r="C679">
            <v>27.544084000000002</v>
          </cell>
          <cell r="G679">
            <v>6.4947722149999998E-2</v>
          </cell>
        </row>
        <row r="680">
          <cell r="C680">
            <v>27.5941565</v>
          </cell>
          <cell r="G680">
            <v>6.3666745100000005E-2</v>
          </cell>
        </row>
        <row r="681">
          <cell r="C681">
            <v>27.644229000000003</v>
          </cell>
          <cell r="G681">
            <v>6.2286423950000003E-2</v>
          </cell>
        </row>
        <row r="682">
          <cell r="C682">
            <v>27.694301500000002</v>
          </cell>
          <cell r="G682">
            <v>6.0898624499999998E-2</v>
          </cell>
        </row>
        <row r="683">
          <cell r="C683">
            <v>27.744374100000002</v>
          </cell>
          <cell r="G683">
            <v>5.9555957450000002E-2</v>
          </cell>
        </row>
        <row r="684">
          <cell r="C684">
            <v>27.794446600000001</v>
          </cell>
          <cell r="G684">
            <v>5.8276744700000001E-2</v>
          </cell>
        </row>
        <row r="685">
          <cell r="C685">
            <v>27.844519100000003</v>
          </cell>
          <cell r="G685">
            <v>5.6999637399999997E-2</v>
          </cell>
        </row>
        <row r="686">
          <cell r="C686">
            <v>27.894591600000002</v>
          </cell>
          <cell r="G686">
            <v>5.5797151400000002E-2</v>
          </cell>
        </row>
        <row r="687">
          <cell r="C687">
            <v>27.944664100000001</v>
          </cell>
          <cell r="G687">
            <v>5.4603763999999999E-2</v>
          </cell>
        </row>
        <row r="688">
          <cell r="C688">
            <v>27.994736600000003</v>
          </cell>
          <cell r="G688">
            <v>5.3412021549999994E-2</v>
          </cell>
        </row>
        <row r="689">
          <cell r="C689">
            <v>28.044809100000002</v>
          </cell>
          <cell r="G689">
            <v>5.2222033250000001E-2</v>
          </cell>
        </row>
        <row r="690">
          <cell r="C690">
            <v>28.094881600000001</v>
          </cell>
          <cell r="G690">
            <v>5.1033918149999996E-2</v>
          </cell>
        </row>
        <row r="691">
          <cell r="C691">
            <v>28.144954100000003</v>
          </cell>
          <cell r="G691">
            <v>4.9782361100000005E-2</v>
          </cell>
        </row>
        <row r="692">
          <cell r="C692">
            <v>28.195026600000002</v>
          </cell>
          <cell r="G692">
            <v>4.853241975E-2</v>
          </cell>
        </row>
        <row r="693">
          <cell r="C693">
            <v>28.245099100000001</v>
          </cell>
          <cell r="G693">
            <v>4.7260054199999998E-2</v>
          </cell>
        </row>
        <row r="694">
          <cell r="C694">
            <v>28.2951716</v>
          </cell>
          <cell r="G694">
            <v>4.5951349249999995E-2</v>
          </cell>
        </row>
        <row r="695">
          <cell r="C695">
            <v>28.345244100000002</v>
          </cell>
          <cell r="G695">
            <v>4.4649608649999999E-2</v>
          </cell>
        </row>
        <row r="696">
          <cell r="C696">
            <v>28.395316600000001</v>
          </cell>
          <cell r="G696">
            <v>4.35131037E-2</v>
          </cell>
        </row>
        <row r="697">
          <cell r="C697">
            <v>28.4453891</v>
          </cell>
          <cell r="G697">
            <v>4.2395965049999998E-2</v>
          </cell>
        </row>
        <row r="698">
          <cell r="C698">
            <v>28.4954617</v>
          </cell>
          <cell r="G698">
            <v>4.1284913049999997E-2</v>
          </cell>
        </row>
        <row r="699">
          <cell r="C699">
            <v>28.545534200000002</v>
          </cell>
          <cell r="G699">
            <v>4.01804526E-2</v>
          </cell>
        </row>
        <row r="700">
          <cell r="C700">
            <v>28.595606700000001</v>
          </cell>
          <cell r="G700">
            <v>3.9083144050000004E-2</v>
          </cell>
        </row>
        <row r="701">
          <cell r="C701">
            <v>28.6456792</v>
          </cell>
          <cell r="G701">
            <v>3.7993996449999998E-2</v>
          </cell>
        </row>
        <row r="702">
          <cell r="C702">
            <v>28.695751700000002</v>
          </cell>
          <cell r="G702">
            <v>3.6915351700000001E-2</v>
          </cell>
        </row>
        <row r="703">
          <cell r="C703">
            <v>28.745824200000001</v>
          </cell>
          <cell r="G703">
            <v>3.58482013E-2</v>
          </cell>
        </row>
        <row r="704">
          <cell r="C704">
            <v>28.7958967</v>
          </cell>
          <cell r="G704">
            <v>3.4793609850000004E-2</v>
          </cell>
        </row>
        <row r="705">
          <cell r="C705">
            <v>28.845969200000003</v>
          </cell>
          <cell r="G705">
            <v>3.3752762450000001E-2</v>
          </cell>
        </row>
        <row r="706">
          <cell r="C706">
            <v>28.896041700000001</v>
          </cell>
          <cell r="G706">
            <v>3.2643436900000003E-2</v>
          </cell>
        </row>
        <row r="707">
          <cell r="C707">
            <v>28.9461142</v>
          </cell>
          <cell r="G707">
            <v>3.1543718300000002E-2</v>
          </cell>
        </row>
        <row r="708">
          <cell r="C708">
            <v>28.996186700000003</v>
          </cell>
          <cell r="G708">
            <v>3.0460453049999999E-2</v>
          </cell>
        </row>
        <row r="709">
          <cell r="C709">
            <v>29.046259200000001</v>
          </cell>
          <cell r="G709">
            <v>2.941104135E-2</v>
          </cell>
        </row>
        <row r="710">
          <cell r="C710">
            <v>29.0963317</v>
          </cell>
          <cell r="G710">
            <v>2.8406582449999999E-2</v>
          </cell>
        </row>
        <row r="711">
          <cell r="C711">
            <v>29.146404199999999</v>
          </cell>
          <cell r="G711">
            <v>2.7578382049999999E-2</v>
          </cell>
        </row>
        <row r="712">
          <cell r="C712">
            <v>29.196476699999998</v>
          </cell>
          <cell r="G712">
            <v>2.679051675E-2</v>
          </cell>
        </row>
        <row r="713">
          <cell r="C713">
            <v>29.246549299999998</v>
          </cell>
          <cell r="G713">
            <v>2.603748325E-2</v>
          </cell>
        </row>
        <row r="714">
          <cell r="C714">
            <v>29.296621800000004</v>
          </cell>
          <cell r="G714">
            <v>2.5322365899999998E-2</v>
          </cell>
        </row>
        <row r="715">
          <cell r="C715">
            <v>29.346694300000003</v>
          </cell>
          <cell r="G715">
            <v>2.4648434849999998E-2</v>
          </cell>
        </row>
        <row r="716">
          <cell r="C716">
            <v>29.396766800000002</v>
          </cell>
          <cell r="G716">
            <v>2.37861202E-2</v>
          </cell>
        </row>
        <row r="717">
          <cell r="C717">
            <v>29.446839300000001</v>
          </cell>
          <cell r="G717">
            <v>2.2971594599999999E-2</v>
          </cell>
        </row>
        <row r="718">
          <cell r="C718">
            <v>29.496911799999999</v>
          </cell>
          <cell r="G718">
            <v>2.236977125E-2</v>
          </cell>
        </row>
        <row r="719">
          <cell r="C719">
            <v>29.546984299999998</v>
          </cell>
          <cell r="G719">
            <v>2.2030194900000001E-2</v>
          </cell>
        </row>
        <row r="720">
          <cell r="C720">
            <v>29.597056800000004</v>
          </cell>
          <cell r="G720">
            <v>2.1786960349999999E-2</v>
          </cell>
        </row>
        <row r="721">
          <cell r="C721">
            <v>29.647129300000003</v>
          </cell>
          <cell r="G721">
            <v>2.17163498E-2</v>
          </cell>
        </row>
        <row r="722">
          <cell r="C722">
            <v>29.697201800000002</v>
          </cell>
          <cell r="G722">
            <v>2.1752770649999999E-2</v>
          </cell>
        </row>
        <row r="723">
          <cell r="C723">
            <v>29.747274300000001</v>
          </cell>
          <cell r="G723">
            <v>2.181819715E-2</v>
          </cell>
        </row>
        <row r="724">
          <cell r="C724">
            <v>29.7973468</v>
          </cell>
          <cell r="G724">
            <v>2.1899925300000001E-2</v>
          </cell>
        </row>
        <row r="725">
          <cell r="C725">
            <v>29.847419299999999</v>
          </cell>
          <cell r="G725">
            <v>2.2084476049999999E-2</v>
          </cell>
        </row>
        <row r="726">
          <cell r="C726">
            <v>29.897491800000005</v>
          </cell>
          <cell r="G726">
            <v>2.2610213949999999E-2</v>
          </cell>
        </row>
        <row r="727">
          <cell r="C727">
            <v>29.947564300000003</v>
          </cell>
          <cell r="G727">
            <v>2.325116935E-2</v>
          </cell>
        </row>
        <row r="728">
          <cell r="C728">
            <v>29.997636900000003</v>
          </cell>
          <cell r="G728">
            <v>2.3989283199999999E-2</v>
          </cell>
        </row>
        <row r="729">
          <cell r="C729">
            <v>30.047709400000002</v>
          </cell>
          <cell r="G729">
            <v>2.4815131050000001E-2</v>
          </cell>
        </row>
        <row r="730">
          <cell r="C730">
            <v>30.097781900000001</v>
          </cell>
          <cell r="G730">
            <v>2.5719552850000001E-2</v>
          </cell>
        </row>
        <row r="731">
          <cell r="C731">
            <v>30.1478544</v>
          </cell>
          <cell r="G731">
            <v>2.7320842450000001E-2</v>
          </cell>
        </row>
        <row r="732">
          <cell r="C732">
            <v>30.197926899999999</v>
          </cell>
          <cell r="G732">
            <v>2.8994940449999999E-2</v>
          </cell>
        </row>
        <row r="733">
          <cell r="C733">
            <v>30.247999400000005</v>
          </cell>
          <cell r="G733">
            <v>3.0626455800000001E-2</v>
          </cell>
        </row>
        <row r="734">
          <cell r="C734">
            <v>30.298071900000004</v>
          </cell>
          <cell r="G734">
            <v>3.2194465749999998E-2</v>
          </cell>
        </row>
        <row r="735">
          <cell r="C735">
            <v>30.348144400000002</v>
          </cell>
          <cell r="G735">
            <v>3.37896554E-2</v>
          </cell>
        </row>
        <row r="736">
          <cell r="C736">
            <v>30.398216900000001</v>
          </cell>
          <cell r="G736">
            <v>3.6093678949999999E-2</v>
          </cell>
        </row>
        <row r="737">
          <cell r="C737">
            <v>30.4482894</v>
          </cell>
          <cell r="G737">
            <v>3.8446092899999999E-2</v>
          </cell>
        </row>
        <row r="738">
          <cell r="C738">
            <v>30.498361899999999</v>
          </cell>
          <cell r="G738">
            <v>4.0825810749999997E-2</v>
          </cell>
        </row>
        <row r="739">
          <cell r="C739">
            <v>30.548434399999998</v>
          </cell>
          <cell r="G739">
            <v>4.322811805E-2</v>
          </cell>
        </row>
        <row r="740">
          <cell r="C740">
            <v>30.598506900000004</v>
          </cell>
          <cell r="G740">
            <v>4.564929165E-2</v>
          </cell>
        </row>
        <row r="741">
          <cell r="C741">
            <v>30.648579400000003</v>
          </cell>
          <cell r="G741">
            <v>4.8899685249999998E-2</v>
          </cell>
        </row>
        <row r="742">
          <cell r="C742">
            <v>30.698651900000002</v>
          </cell>
          <cell r="G742">
            <v>5.2250661000000004E-2</v>
          </cell>
        </row>
        <row r="743">
          <cell r="C743">
            <v>30.748724500000002</v>
          </cell>
          <cell r="G743">
            <v>5.5672084199999999E-2</v>
          </cell>
        </row>
        <row r="744">
          <cell r="C744">
            <v>30.798797</v>
          </cell>
          <cell r="G744">
            <v>5.9150095700000002E-2</v>
          </cell>
        </row>
        <row r="745">
          <cell r="C745">
            <v>30.848869499999999</v>
          </cell>
          <cell r="G745">
            <v>6.2674298650000002E-2</v>
          </cell>
        </row>
        <row r="746">
          <cell r="C746">
            <v>30.898941999999998</v>
          </cell>
          <cell r="G746">
            <v>6.5995688199999999E-2</v>
          </cell>
        </row>
        <row r="747">
          <cell r="C747">
            <v>30.949014500000004</v>
          </cell>
          <cell r="G747">
            <v>6.9384275149999994E-2</v>
          </cell>
        </row>
        <row r="748">
          <cell r="C748">
            <v>30.999087000000003</v>
          </cell>
          <cell r="G748">
            <v>7.2831900650000003E-2</v>
          </cell>
        </row>
        <row r="749">
          <cell r="C749">
            <v>31.049159500000002</v>
          </cell>
          <cell r="G749">
            <v>7.6330196850000004E-2</v>
          </cell>
        </row>
        <row r="750">
          <cell r="C750">
            <v>31.099232000000001</v>
          </cell>
          <cell r="G750">
            <v>7.5438732300000005E-2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8"/>
  <sheetViews>
    <sheetView tabSelected="1" zoomScale="80" zoomScaleNormal="80" workbookViewId="0">
      <selection activeCell="A6" sqref="A6"/>
    </sheetView>
  </sheetViews>
  <sheetFormatPr defaultColWidth="8.875" defaultRowHeight="18.75"/>
  <cols>
    <col min="1" max="1" width="8.875" style="5"/>
    <col min="2" max="10" width="10" style="5" customWidth="1"/>
    <col min="11" max="11" width="8.875" style="5"/>
    <col min="12" max="17" width="10.875" style="5" customWidth="1"/>
    <col min="18" max="18" width="11.875" style="5" customWidth="1"/>
    <col min="19" max="19" width="10.875" style="5" customWidth="1"/>
    <col min="20" max="16384" width="8.875" style="5"/>
  </cols>
  <sheetData>
    <row r="1" spans="1:17" ht="19.5" thickBot="1">
      <c r="D1" s="6"/>
    </row>
    <row r="2" spans="1:17" ht="19.5" thickBot="1">
      <c r="B2" s="7"/>
      <c r="C2" s="28" t="s">
        <v>31</v>
      </c>
      <c r="D2" s="8"/>
      <c r="E2" s="1" t="s">
        <v>32</v>
      </c>
    </row>
    <row r="4" spans="1:17" ht="19.5" thickBot="1">
      <c r="B4" s="6"/>
      <c r="C4" s="6"/>
      <c r="D4" s="6"/>
      <c r="E4" s="6"/>
      <c r="F4" s="6"/>
      <c r="G4" s="6"/>
      <c r="H4" s="6"/>
    </row>
    <row r="5" spans="1:17">
      <c r="A5" s="6"/>
      <c r="C5" s="9"/>
      <c r="D5" s="10" t="s">
        <v>33</v>
      </c>
      <c r="E5" s="10"/>
      <c r="F5" s="10" t="s">
        <v>34</v>
      </c>
      <c r="G5" s="10"/>
      <c r="H5" s="11"/>
      <c r="J5" s="9"/>
      <c r="K5" s="22" t="s">
        <v>44</v>
      </c>
      <c r="L5" s="10"/>
      <c r="M5" s="10"/>
      <c r="N5" s="10"/>
      <c r="O5" s="10"/>
      <c r="P5" s="11"/>
    </row>
    <row r="6" spans="1:17" ht="19.5" thickBot="1">
      <c r="A6" s="6"/>
      <c r="C6" s="12"/>
      <c r="D6" s="13"/>
      <c r="E6" s="13"/>
      <c r="F6" s="13" t="s">
        <v>35</v>
      </c>
      <c r="G6" s="13"/>
      <c r="H6" s="14"/>
      <c r="J6" s="12"/>
      <c r="K6" s="13"/>
      <c r="L6" s="13"/>
      <c r="M6" s="13"/>
      <c r="N6" s="13"/>
      <c r="O6" s="13"/>
      <c r="P6" s="14"/>
    </row>
    <row r="7" spans="1:17" ht="19.5" thickBot="1">
      <c r="A7" s="6"/>
      <c r="C7" s="12"/>
      <c r="D7" s="15" t="s">
        <v>36</v>
      </c>
      <c r="E7" s="16">
        <v>1.2609999999999999</v>
      </c>
      <c r="F7" s="13" t="s">
        <v>37</v>
      </c>
      <c r="G7" s="17">
        <f>E7/1000</f>
        <v>1.261E-3</v>
      </c>
      <c r="H7" s="18" t="s">
        <v>38</v>
      </c>
      <c r="J7" s="12"/>
      <c r="K7" s="13" t="s">
        <v>45</v>
      </c>
      <c r="L7" s="16">
        <v>1.29</v>
      </c>
      <c r="M7" s="13" t="s">
        <v>46</v>
      </c>
      <c r="N7" s="13"/>
      <c r="O7" s="13"/>
      <c r="P7" s="14"/>
    </row>
    <row r="8" spans="1:17" ht="19.5" thickBot="1">
      <c r="A8" s="6"/>
      <c r="C8" s="12"/>
      <c r="D8" s="15" t="s">
        <v>39</v>
      </c>
      <c r="E8" s="16">
        <v>1.08</v>
      </c>
      <c r="F8" s="13" t="s">
        <v>40</v>
      </c>
      <c r="G8" s="17">
        <f>E8*1000</f>
        <v>1080</v>
      </c>
      <c r="H8" s="18" t="s">
        <v>41</v>
      </c>
      <c r="J8" s="12"/>
      <c r="K8" s="23" t="s">
        <v>47</v>
      </c>
      <c r="L8" s="16">
        <v>30</v>
      </c>
      <c r="M8" s="13" t="s">
        <v>48</v>
      </c>
      <c r="N8" s="13" t="s">
        <v>35</v>
      </c>
      <c r="O8" s="17">
        <f>L8/1000</f>
        <v>0.03</v>
      </c>
      <c r="P8" s="14" t="s">
        <v>49</v>
      </c>
    </row>
    <row r="9" spans="1:17" ht="19.5" thickBot="1">
      <c r="A9" s="6"/>
      <c r="C9" s="12"/>
      <c r="D9" s="15"/>
      <c r="E9" s="13"/>
      <c r="F9" s="13"/>
      <c r="G9" s="13"/>
      <c r="H9" s="14"/>
      <c r="J9" s="12"/>
      <c r="K9" s="13"/>
      <c r="L9" s="13"/>
      <c r="M9" s="13"/>
      <c r="N9" s="13"/>
      <c r="O9" s="13"/>
      <c r="P9" s="14"/>
    </row>
    <row r="10" spans="1:17" ht="19.5" thickBot="1">
      <c r="A10" s="6"/>
      <c r="C10" s="12"/>
      <c r="D10" s="15"/>
      <c r="E10" s="13"/>
      <c r="F10" s="13"/>
      <c r="G10" s="13"/>
      <c r="H10" s="14"/>
      <c r="J10" s="12"/>
      <c r="K10" s="13"/>
      <c r="L10" s="24"/>
      <c r="M10" s="15"/>
      <c r="N10" s="25" t="s">
        <v>50</v>
      </c>
      <c r="O10" s="17">
        <f>((8/3)*$L$7*$O$8^3)*1000</f>
        <v>9.287999999999999E-2</v>
      </c>
      <c r="P10" s="14" t="s">
        <v>37</v>
      </c>
    </row>
    <row r="11" spans="1:17" ht="19.5" thickBot="1">
      <c r="A11" s="6"/>
      <c r="C11" s="12"/>
      <c r="D11" s="15" t="s">
        <v>42</v>
      </c>
      <c r="E11" s="17">
        <f>SQRT($G$8/$G$7)/(2*PI())</f>
        <v>147.29040831024676</v>
      </c>
      <c r="F11" s="13" t="s">
        <v>43</v>
      </c>
      <c r="G11" s="13"/>
      <c r="H11" s="14"/>
      <c r="J11" s="12"/>
      <c r="K11" s="6"/>
      <c r="L11" s="24"/>
      <c r="M11" s="13"/>
      <c r="N11" s="25" t="s">
        <v>51</v>
      </c>
      <c r="O11" s="17">
        <f>((16/3)*$L$7*$O$8^3)*1000</f>
        <v>0.18575999999999998</v>
      </c>
      <c r="P11" s="14" t="s">
        <v>37</v>
      </c>
    </row>
    <row r="12" spans="1:17" ht="19.5" thickBot="1">
      <c r="A12" s="6"/>
      <c r="C12" s="19"/>
      <c r="D12" s="20"/>
      <c r="E12" s="20"/>
      <c r="F12" s="20"/>
      <c r="G12" s="20"/>
      <c r="H12" s="21"/>
      <c r="J12" s="19"/>
      <c r="K12" s="20"/>
      <c r="L12" s="20"/>
      <c r="M12" s="20"/>
      <c r="N12" s="20"/>
      <c r="O12" s="20"/>
      <c r="P12" s="21"/>
    </row>
    <row r="13" spans="1:17">
      <c r="A13" s="6"/>
      <c r="B13" s="6"/>
      <c r="C13" s="6"/>
      <c r="D13" s="6"/>
      <c r="E13" s="6"/>
      <c r="F13" s="6"/>
      <c r="G13" s="6"/>
      <c r="H13" s="6"/>
    </row>
    <row r="14" spans="1:17" ht="19.5" thickBot="1"/>
    <row r="15" spans="1:17">
      <c r="C15" s="9"/>
      <c r="D15" s="22" t="s">
        <v>52</v>
      </c>
      <c r="E15" s="10"/>
      <c r="F15" s="10"/>
      <c r="G15" s="10"/>
      <c r="H15" s="10"/>
      <c r="I15" s="11"/>
      <c r="K15" s="9"/>
      <c r="L15" s="10" t="s">
        <v>59</v>
      </c>
      <c r="M15" s="10"/>
      <c r="N15" s="10"/>
      <c r="O15" s="10"/>
      <c r="P15" s="10"/>
      <c r="Q15" s="11"/>
    </row>
    <row r="16" spans="1:17" ht="19.5" thickBot="1">
      <c r="C16" s="12"/>
      <c r="D16" s="13"/>
      <c r="E16" s="13"/>
      <c r="F16" s="13"/>
      <c r="G16" s="13"/>
      <c r="H16" s="13"/>
      <c r="I16" s="14"/>
      <c r="K16" s="12"/>
      <c r="L16" s="13"/>
      <c r="M16" s="13"/>
      <c r="N16" s="13"/>
      <c r="O16" s="13"/>
      <c r="P16" s="13"/>
      <c r="Q16" s="14"/>
    </row>
    <row r="17" spans="3:19" ht="19.5" thickBot="1">
      <c r="C17" s="12"/>
      <c r="D17" s="13"/>
      <c r="E17" s="13"/>
      <c r="F17" s="23" t="s">
        <v>53</v>
      </c>
      <c r="G17" s="16">
        <v>8</v>
      </c>
      <c r="H17" s="13" t="s">
        <v>54</v>
      </c>
      <c r="I17" s="14"/>
      <c r="K17" s="12"/>
      <c r="L17" s="13" t="s">
        <v>45</v>
      </c>
      <c r="M17" s="16">
        <v>1.3</v>
      </c>
      <c r="N17" s="13" t="s">
        <v>46</v>
      </c>
      <c r="O17" s="13"/>
      <c r="P17" s="13"/>
      <c r="Q17" s="14"/>
    </row>
    <row r="18" spans="3:19" ht="19.5" thickBot="1">
      <c r="C18" s="12"/>
      <c r="D18" s="13"/>
      <c r="E18" s="13"/>
      <c r="F18" s="15" t="s">
        <v>55</v>
      </c>
      <c r="G18" s="16">
        <v>1</v>
      </c>
      <c r="H18" s="13" t="s">
        <v>56</v>
      </c>
      <c r="I18" s="14"/>
      <c r="K18" s="12"/>
      <c r="L18" s="15" t="s">
        <v>60</v>
      </c>
      <c r="M18" s="16">
        <v>346.1</v>
      </c>
      <c r="N18" s="13" t="s">
        <v>61</v>
      </c>
      <c r="O18" s="13"/>
      <c r="P18" s="13"/>
      <c r="Q18" s="14"/>
    </row>
    <row r="19" spans="3:19" ht="19.5" thickBot="1">
      <c r="C19" s="12"/>
      <c r="D19" s="13"/>
      <c r="E19" s="13"/>
      <c r="F19" s="13"/>
      <c r="G19" s="13"/>
      <c r="H19" s="13"/>
      <c r="I19" s="14"/>
      <c r="K19" s="12"/>
      <c r="L19" s="23" t="s">
        <v>47</v>
      </c>
      <c r="M19" s="16">
        <v>81</v>
      </c>
      <c r="N19" s="13" t="s">
        <v>48</v>
      </c>
      <c r="O19" s="13" t="s">
        <v>35</v>
      </c>
      <c r="P19" s="17">
        <f>M19/1000</f>
        <v>8.1000000000000003E-2</v>
      </c>
      <c r="Q19" s="14" t="s">
        <v>49</v>
      </c>
    </row>
    <row r="20" spans="3:19" ht="19.5" thickBot="1">
      <c r="C20" s="12"/>
      <c r="D20" s="13"/>
      <c r="E20" s="13"/>
      <c r="F20" s="6"/>
      <c r="G20" s="13"/>
      <c r="H20" s="6"/>
      <c r="I20" s="14"/>
      <c r="K20" s="12"/>
      <c r="L20" s="15" t="s">
        <v>62</v>
      </c>
      <c r="M20" s="16">
        <v>1.2</v>
      </c>
      <c r="N20" s="13" t="s">
        <v>63</v>
      </c>
      <c r="O20" s="13" t="s">
        <v>35</v>
      </c>
      <c r="P20" s="17">
        <f>M20*1000</f>
        <v>1200</v>
      </c>
      <c r="Q20" s="14" t="s">
        <v>41</v>
      </c>
    </row>
    <row r="21" spans="3:19" ht="19.5" thickBot="1">
      <c r="C21" s="12"/>
      <c r="D21" s="13"/>
      <c r="E21" s="13"/>
      <c r="F21" s="13" t="s">
        <v>57</v>
      </c>
      <c r="G21" s="17">
        <f>SQRT($G$17*$G$18)</f>
        <v>2.8284271247461903</v>
      </c>
      <c r="H21" s="13" t="s">
        <v>58</v>
      </c>
      <c r="I21" s="14"/>
      <c r="K21" s="12"/>
      <c r="L21" s="13"/>
      <c r="M21" s="13"/>
      <c r="N21" s="13"/>
      <c r="O21" s="13"/>
      <c r="P21" s="13"/>
      <c r="Q21" s="14"/>
    </row>
    <row r="22" spans="3:19" ht="19.5" thickBot="1">
      <c r="C22" s="19"/>
      <c r="D22" s="20"/>
      <c r="E22" s="20"/>
      <c r="F22" s="20"/>
      <c r="G22" s="20"/>
      <c r="H22" s="20"/>
      <c r="I22" s="21"/>
      <c r="K22" s="12"/>
      <c r="L22" s="13"/>
      <c r="M22" s="13"/>
      <c r="N22" s="13"/>
      <c r="O22" s="15" t="s">
        <v>64</v>
      </c>
      <c r="P22" s="17">
        <f>$M$17*$M$18^2*(PI()*$P$19^2)^2/$P$20*1000</f>
        <v>55.132174966307886</v>
      </c>
      <c r="Q22" s="14" t="s">
        <v>65</v>
      </c>
    </row>
    <row r="23" spans="3:19" ht="19.5" thickBot="1">
      <c r="K23" s="19"/>
      <c r="L23" s="20"/>
      <c r="M23" s="20"/>
      <c r="N23" s="20"/>
      <c r="O23" s="20"/>
      <c r="P23" s="20"/>
      <c r="Q23" s="21"/>
    </row>
    <row r="24" spans="3:19" ht="19.5" thickBot="1"/>
    <row r="25" spans="3:19">
      <c r="C25" s="22"/>
      <c r="D25" s="10" t="s">
        <v>66</v>
      </c>
      <c r="E25" s="10"/>
      <c r="F25" s="10"/>
      <c r="G25" s="10"/>
      <c r="H25" s="10"/>
      <c r="I25" s="10"/>
      <c r="J25" s="11"/>
      <c r="L25" s="22"/>
      <c r="M25" s="10" t="s">
        <v>71</v>
      </c>
      <c r="N25" s="10"/>
      <c r="O25" s="10"/>
      <c r="P25" s="10"/>
      <c r="Q25" s="10"/>
      <c r="R25" s="10"/>
      <c r="S25" s="11"/>
    </row>
    <row r="26" spans="3:19" ht="19.5" thickBot="1">
      <c r="C26" s="12"/>
      <c r="D26" s="13"/>
      <c r="E26" s="13"/>
      <c r="F26" s="13"/>
      <c r="G26" s="13"/>
      <c r="H26" s="13"/>
      <c r="I26" s="13"/>
      <c r="J26" s="14"/>
      <c r="L26" s="12"/>
      <c r="M26" s="13"/>
      <c r="N26" s="13"/>
      <c r="O26" s="13"/>
      <c r="P26" s="13"/>
      <c r="Q26" s="13"/>
      <c r="R26" s="13"/>
      <c r="S26" s="14"/>
    </row>
    <row r="27" spans="3:19" ht="19.5" thickBot="1">
      <c r="C27" s="12"/>
      <c r="D27" s="13"/>
      <c r="E27" s="15" t="s">
        <v>42</v>
      </c>
      <c r="F27" s="16">
        <v>147.19999999999999</v>
      </c>
      <c r="G27" s="13" t="s">
        <v>43</v>
      </c>
      <c r="H27" s="13"/>
      <c r="I27" s="13"/>
      <c r="J27" s="14"/>
      <c r="L27" s="12"/>
      <c r="M27" s="13"/>
      <c r="N27" s="15" t="s">
        <v>42</v>
      </c>
      <c r="O27" s="16">
        <v>147.19999999999999</v>
      </c>
      <c r="P27" s="13" t="s">
        <v>43</v>
      </c>
      <c r="Q27" s="13"/>
      <c r="R27" s="13"/>
      <c r="S27" s="14"/>
    </row>
    <row r="28" spans="3:19" ht="19.5" thickBot="1">
      <c r="C28" s="12"/>
      <c r="D28" s="13"/>
      <c r="E28" s="23" t="s">
        <v>53</v>
      </c>
      <c r="F28" s="16">
        <v>8.52</v>
      </c>
      <c r="G28" s="13" t="s">
        <v>54</v>
      </c>
      <c r="H28" s="13"/>
      <c r="I28" s="13"/>
      <c r="J28" s="14"/>
      <c r="L28" s="12"/>
      <c r="M28" s="13"/>
      <c r="N28" s="15" t="s">
        <v>36</v>
      </c>
      <c r="O28" s="16">
        <v>1.2609999999999999</v>
      </c>
      <c r="P28" s="13" t="s">
        <v>37</v>
      </c>
      <c r="Q28" s="13" t="s">
        <v>35</v>
      </c>
      <c r="R28" s="17">
        <f>O28/1000</f>
        <v>1.261E-3</v>
      </c>
      <c r="S28" s="14" t="s">
        <v>67</v>
      </c>
    </row>
    <row r="29" spans="3:19" ht="19.5" thickBot="1">
      <c r="C29" s="12"/>
      <c r="D29" s="13"/>
      <c r="E29" s="15" t="s">
        <v>36</v>
      </c>
      <c r="F29" s="16">
        <v>1.2609999999999999</v>
      </c>
      <c r="G29" s="13" t="s">
        <v>37</v>
      </c>
      <c r="H29" s="13" t="s">
        <v>35</v>
      </c>
      <c r="I29" s="17">
        <f>F29/1000</f>
        <v>1.261E-3</v>
      </c>
      <c r="J29" s="14" t="s">
        <v>67</v>
      </c>
      <c r="L29" s="12"/>
      <c r="M29" s="13"/>
      <c r="N29" s="15" t="s">
        <v>72</v>
      </c>
      <c r="O29" s="16">
        <v>0.33900000000000002</v>
      </c>
      <c r="P29" s="13" t="s">
        <v>73</v>
      </c>
      <c r="Q29" s="13"/>
      <c r="R29" s="13"/>
      <c r="S29" s="14"/>
    </row>
    <row r="30" spans="3:19" ht="19.5" thickBot="1">
      <c r="C30" s="12"/>
      <c r="D30" s="13"/>
      <c r="E30" s="15" t="s">
        <v>68</v>
      </c>
      <c r="F30" s="16">
        <v>3.2240000000000002</v>
      </c>
      <c r="G30" s="13" t="s">
        <v>69</v>
      </c>
      <c r="H30" s="13"/>
      <c r="I30" s="13"/>
      <c r="J30" s="14"/>
      <c r="L30" s="12"/>
      <c r="M30" s="13"/>
      <c r="N30" s="13"/>
      <c r="O30" s="13"/>
      <c r="P30" s="13"/>
      <c r="Q30" s="13"/>
      <c r="R30" s="13"/>
      <c r="S30" s="14"/>
    </row>
    <row r="31" spans="3:19" ht="19.5" thickBot="1">
      <c r="C31" s="12"/>
      <c r="D31" s="13"/>
      <c r="E31" s="13"/>
      <c r="F31" s="13"/>
      <c r="G31" s="13"/>
      <c r="H31" s="13"/>
      <c r="I31" s="13"/>
      <c r="J31" s="14"/>
      <c r="L31" s="12"/>
      <c r="M31" s="13"/>
      <c r="N31" s="13"/>
      <c r="O31" s="13"/>
      <c r="Q31" s="13" t="s">
        <v>74</v>
      </c>
      <c r="R31" s="17">
        <f>2*PI()*$O$27*$R$28/$O$29</f>
        <v>3.4403534813286987</v>
      </c>
      <c r="S31" s="14"/>
    </row>
    <row r="32" spans="3:19" ht="19.5" thickBot="1">
      <c r="C32" s="12"/>
      <c r="D32" s="13"/>
      <c r="E32" s="13"/>
      <c r="F32" s="13"/>
      <c r="H32" s="13" t="s">
        <v>70</v>
      </c>
      <c r="I32" s="17">
        <f>2*PI()*$F$27*$F$28*$I$29/($F$30^2)</f>
        <v>0.95598767550713515</v>
      </c>
      <c r="J32" s="14"/>
      <c r="L32" s="19"/>
      <c r="M32" s="20"/>
      <c r="N32" s="20"/>
      <c r="O32" s="20"/>
      <c r="P32" s="20"/>
      <c r="Q32" s="20"/>
      <c r="R32" s="20"/>
      <c r="S32" s="21"/>
    </row>
    <row r="33" spans="3:19" ht="19.5" thickBot="1">
      <c r="C33" s="19"/>
      <c r="D33" s="20"/>
      <c r="E33" s="20"/>
      <c r="F33" s="20"/>
      <c r="G33" s="20"/>
      <c r="H33" s="20"/>
      <c r="I33" s="20"/>
      <c r="J33" s="21"/>
    </row>
    <row r="35" spans="3:19" ht="19.5" thickBot="1"/>
    <row r="36" spans="3:19" ht="19.5" thickBot="1">
      <c r="C36" s="22"/>
      <c r="D36" s="10" t="s">
        <v>75</v>
      </c>
      <c r="E36" s="10"/>
      <c r="F36" s="10"/>
      <c r="G36" s="10"/>
      <c r="H36" s="10"/>
      <c r="I36" s="10"/>
      <c r="J36" s="11"/>
    </row>
    <row r="37" spans="3:19" ht="19.5" thickBot="1">
      <c r="C37" s="12"/>
      <c r="D37" s="13"/>
      <c r="E37" s="13"/>
      <c r="F37" s="13"/>
      <c r="G37" s="13"/>
      <c r="H37" s="13"/>
      <c r="I37" s="13"/>
      <c r="J37" s="14"/>
      <c r="L37" s="22"/>
      <c r="M37" s="10" t="s">
        <v>79</v>
      </c>
      <c r="N37" s="10"/>
      <c r="O37" s="10" t="s">
        <v>114</v>
      </c>
      <c r="P37" s="10"/>
      <c r="Q37" s="10"/>
      <c r="R37" s="10"/>
      <c r="S37" s="11"/>
    </row>
    <row r="38" spans="3:19" ht="19.5" thickBot="1">
      <c r="C38" s="12"/>
      <c r="D38" s="13"/>
      <c r="E38" s="23" t="s">
        <v>53</v>
      </c>
      <c r="F38" s="16">
        <v>7.4</v>
      </c>
      <c r="G38" s="13" t="s">
        <v>54</v>
      </c>
      <c r="H38" s="13"/>
      <c r="I38" s="13"/>
      <c r="J38" s="14"/>
      <c r="L38" s="12"/>
      <c r="M38" s="13"/>
      <c r="N38" s="13"/>
      <c r="O38" s="13"/>
      <c r="P38" s="13"/>
      <c r="Q38" s="13"/>
      <c r="R38" s="13"/>
      <c r="S38" s="14"/>
    </row>
    <row r="39" spans="3:19" ht="19.5" thickBot="1">
      <c r="C39" s="12"/>
      <c r="D39" s="13"/>
      <c r="E39" s="15" t="s">
        <v>68</v>
      </c>
      <c r="F39" s="16">
        <v>5.13</v>
      </c>
      <c r="G39" s="13" t="s">
        <v>69</v>
      </c>
      <c r="H39" s="13"/>
      <c r="I39" s="13"/>
      <c r="J39" s="14"/>
      <c r="L39" s="12"/>
      <c r="M39" s="13"/>
      <c r="N39" s="15" t="s">
        <v>80</v>
      </c>
      <c r="O39" s="16">
        <v>90</v>
      </c>
      <c r="P39" s="13" t="s">
        <v>81</v>
      </c>
      <c r="Q39" s="13"/>
      <c r="R39" s="13"/>
      <c r="S39" s="14"/>
    </row>
    <row r="40" spans="3:19" ht="19.5" thickBot="1">
      <c r="C40" s="12"/>
      <c r="D40" s="13"/>
      <c r="E40" s="15" t="s">
        <v>72</v>
      </c>
      <c r="F40" s="16">
        <v>0.40899999999999997</v>
      </c>
      <c r="G40" s="13" t="s">
        <v>73</v>
      </c>
      <c r="H40" s="13"/>
      <c r="I40" s="13"/>
      <c r="J40" s="14"/>
      <c r="L40" s="12"/>
      <c r="M40" s="13"/>
      <c r="N40" s="13" t="s">
        <v>45</v>
      </c>
      <c r="O40" s="16">
        <v>1.29</v>
      </c>
      <c r="P40" s="13" t="s">
        <v>46</v>
      </c>
      <c r="Q40" s="13"/>
      <c r="R40" s="13"/>
      <c r="S40" s="14"/>
    </row>
    <row r="41" spans="3:19" ht="19.5" thickBot="1">
      <c r="C41" s="12"/>
      <c r="D41" s="13"/>
      <c r="E41" s="15" t="s">
        <v>42</v>
      </c>
      <c r="F41" s="16">
        <v>75</v>
      </c>
      <c r="G41" s="13" t="s">
        <v>43</v>
      </c>
      <c r="H41" s="13"/>
      <c r="I41" s="13"/>
      <c r="J41" s="14"/>
      <c r="L41" s="12"/>
      <c r="M41" s="13"/>
      <c r="N41" s="23" t="s">
        <v>47</v>
      </c>
      <c r="O41" s="16">
        <v>41.25</v>
      </c>
      <c r="P41" s="13" t="s">
        <v>48</v>
      </c>
      <c r="Q41" s="13" t="s">
        <v>35</v>
      </c>
      <c r="R41" s="17">
        <f>O41/1000</f>
        <v>4.1250000000000002E-2</v>
      </c>
      <c r="S41" s="14" t="s">
        <v>49</v>
      </c>
    </row>
    <row r="42" spans="3:19" ht="19.5" thickBot="1">
      <c r="C42" s="12"/>
      <c r="D42" s="13"/>
      <c r="E42" s="15" t="s">
        <v>36</v>
      </c>
      <c r="F42" s="16">
        <v>2.66</v>
      </c>
      <c r="G42" s="13" t="s">
        <v>37</v>
      </c>
      <c r="H42" s="13" t="s">
        <v>35</v>
      </c>
      <c r="I42" s="17">
        <f>F42/1000</f>
        <v>2.66E-3</v>
      </c>
      <c r="J42" s="14" t="s">
        <v>67</v>
      </c>
      <c r="L42" s="12"/>
      <c r="M42" s="13"/>
      <c r="N42" s="15" t="s">
        <v>82</v>
      </c>
      <c r="O42" s="16">
        <v>45</v>
      </c>
      <c r="P42" s="13" t="s">
        <v>83</v>
      </c>
      <c r="Q42" s="13"/>
      <c r="R42" s="13"/>
      <c r="S42" s="14"/>
    </row>
    <row r="43" spans="3:19" ht="19.5" thickBot="1">
      <c r="C43" s="12"/>
      <c r="D43" s="13"/>
      <c r="E43" s="13"/>
      <c r="F43" s="13"/>
      <c r="G43" s="13"/>
      <c r="H43" s="13"/>
      <c r="I43" s="13"/>
      <c r="J43" s="14"/>
      <c r="L43" s="12"/>
      <c r="M43" s="13"/>
      <c r="N43" s="13" t="s">
        <v>84</v>
      </c>
      <c r="O43" s="16">
        <f>2*10^(-5)</f>
        <v>2.0000000000000002E-5</v>
      </c>
      <c r="P43" s="13" t="s">
        <v>85</v>
      </c>
      <c r="Q43" s="13"/>
      <c r="R43" s="13"/>
      <c r="S43" s="14"/>
    </row>
    <row r="44" spans="3:19" ht="19.5" thickBot="1">
      <c r="C44" s="12"/>
      <c r="D44" s="13"/>
      <c r="E44" s="13"/>
      <c r="F44" s="13"/>
      <c r="G44" s="13"/>
      <c r="H44" s="5" t="s">
        <v>76</v>
      </c>
      <c r="I44" s="17">
        <f>2*PI()*$F$41*$I$42*$F$38/$F$39^2</f>
        <v>0.35246805166980999</v>
      </c>
      <c r="J44" s="14"/>
      <c r="L44" s="12"/>
      <c r="M44" s="13"/>
      <c r="N44" s="13"/>
      <c r="O44" s="13"/>
      <c r="P44" s="13"/>
      <c r="Q44" s="13"/>
      <c r="R44" s="13"/>
      <c r="S44" s="14"/>
    </row>
    <row r="45" spans="3:19" ht="19.5" thickBot="1">
      <c r="C45" s="12"/>
      <c r="D45" s="13"/>
      <c r="E45" s="13"/>
      <c r="F45" s="13"/>
      <c r="G45" s="13"/>
      <c r="H45" s="13"/>
      <c r="I45" s="13"/>
      <c r="J45" s="14"/>
      <c r="L45" s="12"/>
      <c r="M45" s="13"/>
      <c r="N45" s="15" t="s">
        <v>86</v>
      </c>
      <c r="O45" s="17">
        <f>2*SQRT(2)*$O$43*10^($O$39/20)/(4*PI()*PI()*$O$42^2*$O$40*$R$41^2)</f>
        <v>1.0194187302577427E-2</v>
      </c>
      <c r="P45" s="13" t="s">
        <v>87</v>
      </c>
      <c r="Q45" s="13" t="s">
        <v>35</v>
      </c>
      <c r="R45" s="17">
        <f>O45*1000</f>
        <v>10.194187302577427</v>
      </c>
      <c r="S45" s="14" t="s">
        <v>88</v>
      </c>
    </row>
    <row r="46" spans="3:19" ht="19.5" thickBot="1">
      <c r="C46" s="12"/>
      <c r="D46" s="13"/>
      <c r="E46" s="13"/>
      <c r="F46" s="13"/>
      <c r="G46" s="13"/>
      <c r="H46" s="13" t="s">
        <v>77</v>
      </c>
      <c r="I46" s="17">
        <f>2*PI()*$F$41*$I$42/$F$40</f>
        <v>3.0647810972673044</v>
      </c>
      <c r="J46" s="14"/>
      <c r="L46" s="19"/>
      <c r="M46" s="20"/>
      <c r="N46" s="20"/>
      <c r="O46" s="20"/>
      <c r="P46" s="20"/>
      <c r="Q46" s="20"/>
      <c r="R46" s="20"/>
      <c r="S46" s="21"/>
    </row>
    <row r="47" spans="3:19" ht="19.5" thickBot="1">
      <c r="C47" s="12"/>
      <c r="D47" s="13"/>
      <c r="E47" s="13"/>
      <c r="F47" s="13"/>
      <c r="G47" s="13"/>
      <c r="H47" s="13"/>
      <c r="I47" s="13"/>
      <c r="J47" s="14"/>
    </row>
    <row r="48" spans="3:19" ht="19.5" thickBot="1">
      <c r="C48" s="12"/>
      <c r="D48" s="13"/>
      <c r="E48" s="13"/>
      <c r="F48" s="13"/>
      <c r="G48" s="13"/>
      <c r="H48" s="13" t="s">
        <v>78</v>
      </c>
      <c r="I48" s="17">
        <f>$I$44*$I$46/($I$44+$I$46)</f>
        <v>0.31611315858671335</v>
      </c>
      <c r="J48" s="14"/>
    </row>
    <row r="49" spans="3:10" ht="19.5" thickBot="1">
      <c r="C49" s="19"/>
      <c r="D49" s="20"/>
      <c r="E49" s="20"/>
      <c r="F49" s="20"/>
      <c r="G49" s="20"/>
      <c r="H49" s="20"/>
      <c r="I49" s="20"/>
      <c r="J49" s="21"/>
    </row>
    <row r="51" spans="3:10" ht="19.5" thickBot="1"/>
    <row r="52" spans="3:10">
      <c r="C52" s="22"/>
      <c r="D52" s="10" t="s">
        <v>89</v>
      </c>
      <c r="E52" s="10"/>
      <c r="F52" s="10" t="s">
        <v>115</v>
      </c>
      <c r="G52" s="10"/>
      <c r="H52" s="10"/>
      <c r="I52" s="10"/>
      <c r="J52" s="11"/>
    </row>
    <row r="53" spans="3:10" ht="19.5" thickBot="1">
      <c r="C53" s="12"/>
      <c r="D53" s="13"/>
      <c r="E53" s="13"/>
      <c r="F53" s="13"/>
      <c r="G53" s="13"/>
      <c r="H53" s="13"/>
      <c r="I53" s="13"/>
      <c r="J53" s="14"/>
    </row>
    <row r="54" spans="3:10" ht="19.5" thickBot="1">
      <c r="C54" s="12"/>
      <c r="D54" s="13"/>
      <c r="E54" s="15" t="s">
        <v>45</v>
      </c>
      <c r="F54" s="16">
        <v>1.29</v>
      </c>
      <c r="G54" s="13" t="s">
        <v>46</v>
      </c>
      <c r="H54" s="13"/>
      <c r="I54" s="13"/>
      <c r="J54" s="14"/>
    </row>
    <row r="55" spans="3:10" ht="19.5" thickBot="1">
      <c r="C55" s="12"/>
      <c r="D55" s="13"/>
      <c r="E55" s="23" t="s">
        <v>47</v>
      </c>
      <c r="F55" s="16">
        <v>17</v>
      </c>
      <c r="G55" s="13" t="s">
        <v>48</v>
      </c>
      <c r="H55" s="13" t="s">
        <v>35</v>
      </c>
      <c r="I55" s="17">
        <f>F55/1000</f>
        <v>1.7000000000000001E-2</v>
      </c>
      <c r="J55" s="14" t="s">
        <v>49</v>
      </c>
    </row>
    <row r="56" spans="3:10" ht="19.5" thickBot="1">
      <c r="C56" s="12"/>
      <c r="D56" s="13"/>
      <c r="E56" s="15" t="s">
        <v>36</v>
      </c>
      <c r="F56" s="16">
        <v>0.4</v>
      </c>
      <c r="G56" s="13" t="s">
        <v>37</v>
      </c>
      <c r="H56" s="13" t="s">
        <v>35</v>
      </c>
      <c r="I56" s="17">
        <f>F56/1000</f>
        <v>4.0000000000000002E-4</v>
      </c>
      <c r="J56" s="14" t="s">
        <v>67</v>
      </c>
    </row>
    <row r="57" spans="3:10" ht="19.5" thickBot="1">
      <c r="C57" s="12"/>
      <c r="D57" s="13"/>
      <c r="E57" s="15" t="s">
        <v>42</v>
      </c>
      <c r="F57" s="16">
        <v>350</v>
      </c>
      <c r="G57" s="13" t="s">
        <v>43</v>
      </c>
      <c r="H57" s="13"/>
      <c r="I57" s="13" t="s">
        <v>90</v>
      </c>
      <c r="J57" s="14"/>
    </row>
    <row r="58" spans="3:10" ht="19.5" thickBot="1">
      <c r="C58" s="12"/>
      <c r="D58" s="13"/>
      <c r="E58" s="23" t="s">
        <v>53</v>
      </c>
      <c r="F58" s="16">
        <v>3.9</v>
      </c>
      <c r="G58" s="13" t="s">
        <v>54</v>
      </c>
      <c r="H58" s="13"/>
      <c r="I58" s="17">
        <f>2*PI()*$F$57*$I$56/($F$62^2/$F$58+$F$61)</f>
        <v>0.83267455769904208</v>
      </c>
      <c r="J58" s="14"/>
    </row>
    <row r="59" spans="3:10" ht="19.5" thickBot="1">
      <c r="C59" s="12"/>
      <c r="D59" s="13"/>
      <c r="E59" s="15" t="s">
        <v>91</v>
      </c>
      <c r="F59" s="16">
        <v>1</v>
      </c>
      <c r="G59" s="13" t="s">
        <v>87</v>
      </c>
      <c r="H59" s="13"/>
      <c r="I59" s="13" t="s">
        <v>92</v>
      </c>
      <c r="J59" s="14"/>
    </row>
    <row r="60" spans="3:10" ht="19.5" thickBot="1">
      <c r="C60" s="12"/>
      <c r="D60" s="13"/>
      <c r="E60" s="15" t="s">
        <v>93</v>
      </c>
      <c r="F60" s="16">
        <v>2</v>
      </c>
      <c r="G60" s="13" t="s">
        <v>94</v>
      </c>
      <c r="H60" s="13"/>
      <c r="I60" s="17">
        <f>$F$54*$I$55^2*$F$60*$F$62/(2*$F$59*$I$56*$F$58)</f>
        <v>0.38236923076923091</v>
      </c>
      <c r="J60" s="14"/>
    </row>
    <row r="61" spans="3:10" ht="19.5" thickBot="1">
      <c r="C61" s="12"/>
      <c r="D61" s="13"/>
      <c r="E61" s="15" t="s">
        <v>72</v>
      </c>
      <c r="F61" s="16">
        <v>0.4</v>
      </c>
      <c r="G61" s="13" t="s">
        <v>73</v>
      </c>
      <c r="H61" s="13"/>
      <c r="I61" s="13" t="s">
        <v>95</v>
      </c>
      <c r="J61" s="14"/>
    </row>
    <row r="62" spans="3:10" ht="19.5" thickBot="1">
      <c r="C62" s="12"/>
      <c r="D62" s="13"/>
      <c r="E62" s="15" t="s">
        <v>68</v>
      </c>
      <c r="F62" s="16">
        <v>1.6</v>
      </c>
      <c r="G62" s="13" t="s">
        <v>69</v>
      </c>
      <c r="H62" s="13"/>
      <c r="I62" s="17">
        <f>$F$63/$F$57*(SQRT((1/$I$58^2)+($F$63/$F$57-$F$57/$F$63)^2))^(-1)</f>
        <v>1.0277728520308169</v>
      </c>
      <c r="J62" s="14"/>
    </row>
    <row r="63" spans="3:10" ht="19.5" thickBot="1">
      <c r="C63" s="12"/>
      <c r="D63" s="13"/>
      <c r="E63" s="15" t="s">
        <v>82</v>
      </c>
      <c r="F63" s="16">
        <v>1000</v>
      </c>
      <c r="G63" s="13" t="s">
        <v>83</v>
      </c>
      <c r="H63" s="5" t="s">
        <v>96</v>
      </c>
      <c r="I63" s="24" t="s">
        <v>97</v>
      </c>
      <c r="J63" s="14"/>
    </row>
    <row r="64" spans="3:10" ht="19.5" thickBot="1">
      <c r="C64" s="12"/>
      <c r="D64" s="13"/>
      <c r="E64" s="13" t="s">
        <v>84</v>
      </c>
      <c r="F64" s="16">
        <f>2*10^(-5)</f>
        <v>2.0000000000000002E-5</v>
      </c>
      <c r="G64" s="13" t="s">
        <v>85</v>
      </c>
      <c r="H64" s="13"/>
      <c r="I64" s="13"/>
      <c r="J64" s="14"/>
    </row>
    <row r="65" spans="3:19" ht="19.5" thickBot="1">
      <c r="C65" s="12"/>
      <c r="D65" s="13"/>
      <c r="E65" s="13"/>
      <c r="F65" s="13"/>
      <c r="G65" s="13"/>
      <c r="H65" s="13"/>
      <c r="I65" s="13"/>
      <c r="J65" s="14"/>
    </row>
    <row r="66" spans="3:19" ht="19.5" thickBot="1">
      <c r="C66" s="12"/>
      <c r="D66" s="13"/>
      <c r="E66" s="13"/>
      <c r="F66" s="13"/>
      <c r="H66" s="15" t="s">
        <v>98</v>
      </c>
      <c r="I66" s="17">
        <f>20*LOG10($I$60*$I$62/$F$64)</f>
        <v>85.867001671603177</v>
      </c>
      <c r="J66" s="14" t="s">
        <v>81</v>
      </c>
    </row>
    <row r="67" spans="3:19" ht="19.5" thickBot="1">
      <c r="C67" s="19"/>
      <c r="D67" s="20"/>
      <c r="E67" s="20"/>
      <c r="F67" s="20"/>
      <c r="G67" s="20"/>
      <c r="H67" s="20"/>
      <c r="I67" s="20"/>
      <c r="J67" s="21"/>
    </row>
    <row r="69" spans="3:19" ht="19.5" thickBot="1"/>
    <row r="70" spans="3:19">
      <c r="C70" s="22"/>
      <c r="D70" s="10" t="s">
        <v>112</v>
      </c>
      <c r="E70" s="10"/>
      <c r="F70" s="10"/>
      <c r="G70" s="10"/>
      <c r="H70" s="10"/>
      <c r="I70" s="10"/>
      <c r="J70" s="11"/>
      <c r="L70" s="22"/>
      <c r="M70" s="41" t="s">
        <v>127</v>
      </c>
      <c r="N70" s="10"/>
      <c r="O70" s="10"/>
      <c r="P70" s="10"/>
      <c r="Q70" s="10"/>
      <c r="R70" s="10"/>
      <c r="S70" s="11"/>
    </row>
    <row r="71" spans="3:19" ht="19.5" thickBot="1">
      <c r="C71" s="12"/>
      <c r="D71" s="13"/>
      <c r="E71" s="13"/>
      <c r="F71" s="13"/>
      <c r="G71" s="13"/>
      <c r="H71" s="13"/>
      <c r="I71" s="13"/>
      <c r="J71" s="14"/>
      <c r="L71" s="12"/>
      <c r="M71" s="13"/>
      <c r="N71" s="13"/>
      <c r="O71" s="13"/>
      <c r="P71" s="13"/>
      <c r="Q71" s="13"/>
      <c r="R71" s="13"/>
      <c r="S71" s="14"/>
    </row>
    <row r="72" spans="3:19" ht="19.5" thickBot="1">
      <c r="C72" s="12"/>
      <c r="D72" s="15" t="s">
        <v>103</v>
      </c>
      <c r="E72" s="16">
        <v>2.8</v>
      </c>
      <c r="F72" s="24" t="s">
        <v>130</v>
      </c>
      <c r="G72" s="13"/>
      <c r="H72" s="13"/>
      <c r="I72" s="13"/>
      <c r="J72" s="14"/>
      <c r="L72" s="12"/>
      <c r="M72" s="15" t="s">
        <v>103</v>
      </c>
      <c r="N72" s="40">
        <f>$R$77*($R$73*$R$74)/($R$75*10^(-8))</f>
        <v>2.4492433992323432</v>
      </c>
      <c r="O72" s="24" t="s">
        <v>130</v>
      </c>
      <c r="P72" s="13"/>
      <c r="Q72" s="13"/>
      <c r="R72" s="13"/>
      <c r="S72" s="14"/>
    </row>
    <row r="73" spans="3:19" ht="19.5" thickBot="1">
      <c r="C73" s="12"/>
      <c r="D73" s="13" t="s">
        <v>104</v>
      </c>
      <c r="E73" s="16">
        <v>0.24</v>
      </c>
      <c r="F73" s="13" t="s">
        <v>106</v>
      </c>
      <c r="G73" s="13" t="s">
        <v>108</v>
      </c>
      <c r="H73" s="13"/>
      <c r="I73" s="17">
        <f>$E$73/1000</f>
        <v>2.3999999999999998E-4</v>
      </c>
      <c r="J73" s="14" t="s">
        <v>109</v>
      </c>
      <c r="L73" s="12"/>
      <c r="M73" s="13" t="s">
        <v>104</v>
      </c>
      <c r="N73" s="36">
        <v>0.24</v>
      </c>
      <c r="O73" s="13" t="s">
        <v>106</v>
      </c>
      <c r="P73" s="13" t="s">
        <v>108</v>
      </c>
      <c r="Q73" s="13"/>
      <c r="R73" s="17">
        <f>$E$73/1000</f>
        <v>2.3999999999999998E-4</v>
      </c>
      <c r="S73" s="14" t="s">
        <v>109</v>
      </c>
    </row>
    <row r="74" spans="3:19" ht="19.5" thickBot="1">
      <c r="C74" s="12"/>
      <c r="D74" s="13" t="s">
        <v>105</v>
      </c>
      <c r="E74" s="16">
        <v>8.9999999999999993E-3</v>
      </c>
      <c r="F74" s="13" t="s">
        <v>106</v>
      </c>
      <c r="G74" s="13" t="s">
        <v>108</v>
      </c>
      <c r="H74" s="13"/>
      <c r="I74" s="17">
        <f>$E$74/1000</f>
        <v>8.9999999999999985E-6</v>
      </c>
      <c r="J74" s="14" t="s">
        <v>109</v>
      </c>
      <c r="L74" s="12"/>
      <c r="M74" s="13" t="s">
        <v>105</v>
      </c>
      <c r="N74" s="16">
        <v>8.9999999999999993E-3</v>
      </c>
      <c r="O74" s="13" t="s">
        <v>106</v>
      </c>
      <c r="P74" s="13" t="s">
        <v>108</v>
      </c>
      <c r="Q74" s="13"/>
      <c r="R74" s="43">
        <f>$E$74/1000</f>
        <v>8.9999999999999985E-6</v>
      </c>
      <c r="S74" s="14" t="s">
        <v>109</v>
      </c>
    </row>
    <row r="75" spans="3:19" ht="19.5" thickBot="1">
      <c r="C75" s="12"/>
      <c r="D75" s="13" t="s">
        <v>107</v>
      </c>
      <c r="E75" s="16">
        <v>3527.62</v>
      </c>
      <c r="F75" s="13" t="s">
        <v>106</v>
      </c>
      <c r="G75" s="13" t="s">
        <v>108</v>
      </c>
      <c r="H75" s="13"/>
      <c r="I75" s="17">
        <f>$E$75/1000</f>
        <v>3.5276199999999998</v>
      </c>
      <c r="J75" s="14" t="s">
        <v>109</v>
      </c>
      <c r="L75" s="12"/>
      <c r="M75" s="13" t="s">
        <v>107</v>
      </c>
      <c r="N75" s="16">
        <v>3527.62</v>
      </c>
      <c r="O75" s="13" t="s">
        <v>106</v>
      </c>
      <c r="P75" s="13" t="s">
        <v>108</v>
      </c>
      <c r="Q75" s="13"/>
      <c r="R75" s="17">
        <f>$E$75/1000</f>
        <v>3.5276199999999998</v>
      </c>
      <c r="S75" s="14" t="s">
        <v>109</v>
      </c>
    </row>
    <row r="76" spans="3:19" ht="19.5" thickBot="1">
      <c r="C76" s="12"/>
      <c r="D76" s="13"/>
      <c r="E76" s="13"/>
      <c r="F76" s="13"/>
      <c r="G76" s="13"/>
      <c r="H76" s="13"/>
      <c r="I76" s="13"/>
      <c r="J76" s="14"/>
      <c r="L76" s="12"/>
      <c r="M76" s="13"/>
      <c r="N76" s="13"/>
      <c r="O76" s="13"/>
      <c r="P76" s="13"/>
      <c r="Q76" s="13"/>
      <c r="R76" s="37"/>
      <c r="S76" s="14"/>
    </row>
    <row r="77" spans="3:19" ht="19.5" thickBot="1">
      <c r="C77" s="12"/>
      <c r="D77" s="13"/>
      <c r="E77" s="13"/>
      <c r="F77" s="13"/>
      <c r="G77" s="13"/>
      <c r="H77" s="13" t="s">
        <v>110</v>
      </c>
      <c r="I77" s="30">
        <f>$E$72*10^(-8)*$I$75/($I$73*$I$74)</f>
        <v>45.72840740740741</v>
      </c>
      <c r="J77" s="14" t="s">
        <v>111</v>
      </c>
      <c r="L77" s="12"/>
      <c r="M77" s="13"/>
      <c r="N77" s="13"/>
      <c r="O77" s="13"/>
      <c r="P77" s="13"/>
      <c r="Q77" s="39" t="s">
        <v>110</v>
      </c>
      <c r="R77" s="42">
        <v>40</v>
      </c>
      <c r="S77" s="14" t="s">
        <v>111</v>
      </c>
    </row>
    <row r="78" spans="3:19" ht="19.5" thickBot="1">
      <c r="C78" s="19"/>
      <c r="D78" s="20"/>
      <c r="E78" s="20"/>
      <c r="F78" s="20"/>
      <c r="G78" s="20"/>
      <c r="H78" s="20"/>
      <c r="I78" s="20"/>
      <c r="J78" s="21"/>
      <c r="L78" s="19"/>
      <c r="M78" s="20"/>
      <c r="N78" s="20"/>
      <c r="O78" s="20"/>
      <c r="P78" s="20"/>
      <c r="Q78" s="20"/>
      <c r="R78" s="20"/>
      <c r="S78" s="21"/>
    </row>
    <row r="79" spans="3:19" ht="19.5" thickBot="1"/>
    <row r="80" spans="3:19">
      <c r="C80" s="22"/>
      <c r="D80" s="10" t="s">
        <v>116</v>
      </c>
      <c r="E80" s="10"/>
      <c r="F80" s="10"/>
      <c r="G80" s="10"/>
      <c r="H80" s="10"/>
      <c r="I80" s="10"/>
      <c r="J80" s="11"/>
      <c r="L80" s="22"/>
      <c r="M80" s="10" t="s">
        <v>128</v>
      </c>
      <c r="N80" s="10"/>
      <c r="O80" s="10"/>
      <c r="P80" s="10"/>
      <c r="Q80" s="10"/>
      <c r="R80" s="10"/>
      <c r="S80" s="11"/>
    </row>
    <row r="81" spans="3:19" ht="19.5" thickBot="1">
      <c r="C81" s="12"/>
      <c r="D81" s="13"/>
      <c r="E81" s="13"/>
      <c r="F81" s="13"/>
      <c r="G81" s="13"/>
      <c r="H81" s="13"/>
      <c r="I81" s="13"/>
      <c r="J81" s="14"/>
      <c r="L81" s="12"/>
      <c r="M81" s="13"/>
      <c r="N81" s="13"/>
      <c r="O81" s="13"/>
      <c r="P81" s="13"/>
      <c r="Q81" s="13"/>
      <c r="R81" s="13"/>
      <c r="S81" s="14"/>
    </row>
    <row r="82" spans="3:19" ht="19.5" thickBot="1">
      <c r="C82" s="12"/>
      <c r="D82" s="15" t="s">
        <v>117</v>
      </c>
      <c r="E82" s="16">
        <v>9.5</v>
      </c>
      <c r="F82" s="13" t="s">
        <v>106</v>
      </c>
      <c r="G82" s="13"/>
      <c r="H82" s="13"/>
      <c r="I82" s="35"/>
      <c r="J82" s="14"/>
      <c r="L82" s="12"/>
      <c r="M82" s="15" t="s">
        <v>103</v>
      </c>
      <c r="N82" s="44">
        <v>2.4491999999999998</v>
      </c>
      <c r="O82" s="24" t="s">
        <v>130</v>
      </c>
      <c r="P82" s="13"/>
      <c r="Q82" s="13"/>
      <c r="R82" s="13"/>
      <c r="S82" s="14"/>
    </row>
    <row r="83" spans="3:19" ht="19.5" thickBot="1">
      <c r="C83" s="12"/>
      <c r="D83" s="13" t="s">
        <v>118</v>
      </c>
      <c r="E83" s="16">
        <v>8</v>
      </c>
      <c r="F83" s="13" t="s">
        <v>106</v>
      </c>
      <c r="G83" s="13"/>
      <c r="H83" s="13"/>
      <c r="I83" s="35"/>
      <c r="J83" s="14"/>
      <c r="L83" s="12"/>
      <c r="M83" s="13" t="s">
        <v>104</v>
      </c>
      <c r="N83" s="46">
        <v>0.24</v>
      </c>
      <c r="O83" s="13" t="s">
        <v>106</v>
      </c>
      <c r="P83" s="13" t="s">
        <v>108</v>
      </c>
      <c r="Q83" s="13"/>
      <c r="R83" s="17">
        <f>$E$73/1000</f>
        <v>2.3999999999999998E-4</v>
      </c>
      <c r="S83" s="14" t="s">
        <v>109</v>
      </c>
    </row>
    <row r="84" spans="3:19" ht="20.25" thickTop="1" thickBot="1">
      <c r="C84" s="12"/>
      <c r="D84" s="13"/>
      <c r="E84" s="35"/>
      <c r="F84" s="35"/>
      <c r="G84" s="35"/>
      <c r="H84" s="35"/>
      <c r="I84" s="35"/>
      <c r="J84" s="14"/>
      <c r="L84" s="12"/>
      <c r="M84" s="45" t="s">
        <v>105</v>
      </c>
      <c r="N84" s="47">
        <f>$R$84*1000</f>
        <v>8.9998405250000003E-3</v>
      </c>
      <c r="O84" s="13" t="s">
        <v>106</v>
      </c>
      <c r="P84" s="13" t="s">
        <v>129</v>
      </c>
      <c r="Q84" s="13"/>
      <c r="R84" s="43">
        <f>$N$82*10^(-8)*$R$85/($R$83*$R$87)</f>
        <v>8.9998405250000002E-6</v>
      </c>
      <c r="S84" s="14" t="s">
        <v>109</v>
      </c>
    </row>
    <row r="85" spans="3:19" ht="20.25" thickTop="1" thickBot="1">
      <c r="C85" s="12"/>
      <c r="D85" s="13"/>
      <c r="E85" s="35"/>
      <c r="F85" s="35"/>
      <c r="G85" s="35"/>
      <c r="H85" s="35"/>
      <c r="I85" s="35"/>
      <c r="J85" s="14"/>
      <c r="L85" s="12"/>
      <c r="M85" s="13" t="s">
        <v>107</v>
      </c>
      <c r="N85" s="36">
        <v>3527.62</v>
      </c>
      <c r="O85" s="13" t="s">
        <v>106</v>
      </c>
      <c r="P85" s="13" t="s">
        <v>108</v>
      </c>
      <c r="Q85" s="13"/>
      <c r="R85" s="17">
        <f>$E$75/1000</f>
        <v>3.5276199999999998</v>
      </c>
      <c r="S85" s="14" t="s">
        <v>109</v>
      </c>
    </row>
    <row r="86" spans="3:19" ht="19.5" thickBot="1">
      <c r="C86" s="12"/>
      <c r="D86" s="13"/>
      <c r="E86" s="13"/>
      <c r="F86" s="13"/>
      <c r="G86" s="13"/>
      <c r="H86" s="13"/>
      <c r="I86" s="13"/>
      <c r="J86" s="14"/>
      <c r="L86" s="12"/>
      <c r="M86" s="13"/>
      <c r="N86" s="13"/>
      <c r="O86" s="13"/>
      <c r="P86" s="13"/>
      <c r="Q86" s="13"/>
      <c r="R86" s="37"/>
      <c r="S86" s="14"/>
    </row>
    <row r="87" spans="3:19" ht="19.5" thickBot="1">
      <c r="C87" s="12"/>
      <c r="D87" s="13"/>
      <c r="E87" s="13"/>
      <c r="F87" s="13"/>
      <c r="G87" s="13"/>
      <c r="H87" s="13" t="s">
        <v>119</v>
      </c>
      <c r="I87" s="30">
        <f>ABS($E$82-$E$83)/2 + $E$83/3</f>
        <v>3.4166666666666665</v>
      </c>
      <c r="J87" s="14" t="s">
        <v>106</v>
      </c>
      <c r="L87" s="12"/>
      <c r="M87" s="13"/>
      <c r="N87" s="13"/>
      <c r="O87" s="13"/>
      <c r="P87" s="13"/>
      <c r="Q87" s="39" t="s">
        <v>110</v>
      </c>
      <c r="R87" s="38">
        <v>40</v>
      </c>
      <c r="S87" s="14" t="s">
        <v>111</v>
      </c>
    </row>
    <row r="88" spans="3:19" ht="19.5" thickBot="1">
      <c r="C88" s="19"/>
      <c r="D88" s="20"/>
      <c r="E88" s="20"/>
      <c r="F88" s="20"/>
      <c r="G88" s="20"/>
      <c r="H88" s="20"/>
      <c r="I88" s="20"/>
      <c r="J88" s="21"/>
      <c r="L88" s="19"/>
      <c r="M88" s="20"/>
      <c r="N88" s="20"/>
      <c r="O88" s="20"/>
      <c r="P88" s="20"/>
      <c r="Q88" s="20"/>
      <c r="R88" s="20"/>
      <c r="S88" s="21"/>
    </row>
    <row r="89" spans="3:19" ht="19.5" thickBot="1"/>
    <row r="90" spans="3:19">
      <c r="C90" s="22"/>
      <c r="D90" s="10" t="s">
        <v>120</v>
      </c>
      <c r="E90" s="10"/>
      <c r="F90" s="10"/>
      <c r="G90" s="10"/>
      <c r="H90" s="10"/>
      <c r="I90" s="10"/>
      <c r="J90" s="11"/>
      <c r="L90" s="22"/>
      <c r="M90" s="10" t="s">
        <v>128</v>
      </c>
      <c r="N90" s="10"/>
      <c r="O90" s="10"/>
      <c r="P90" s="10"/>
      <c r="Q90" s="10"/>
      <c r="R90" s="10"/>
      <c r="S90" s="11"/>
    </row>
    <row r="91" spans="3:19" ht="19.5" thickBot="1">
      <c r="C91" s="12"/>
      <c r="D91" s="13"/>
      <c r="E91" s="13"/>
      <c r="F91" s="13"/>
      <c r="G91" s="13"/>
      <c r="H91" s="13"/>
      <c r="I91" s="13"/>
      <c r="J91" s="14"/>
      <c r="L91" s="12"/>
      <c r="M91" s="13"/>
      <c r="N91" s="13"/>
      <c r="O91" s="13"/>
      <c r="P91" s="13"/>
      <c r="Q91" s="13"/>
      <c r="R91" s="13"/>
      <c r="S91" s="14"/>
    </row>
    <row r="92" spans="3:19" ht="19.5" thickBot="1">
      <c r="C92" s="12"/>
      <c r="D92" s="15" t="s">
        <v>60</v>
      </c>
      <c r="E92" s="16">
        <v>346.1</v>
      </c>
      <c r="F92" s="13" t="s">
        <v>61</v>
      </c>
      <c r="G92" s="13"/>
      <c r="H92" s="13"/>
      <c r="I92" s="35"/>
      <c r="J92" s="14"/>
      <c r="L92" s="12"/>
      <c r="M92" s="15" t="s">
        <v>103</v>
      </c>
      <c r="N92" s="48">
        <v>2.4491999999999998</v>
      </c>
      <c r="O92" s="24" t="s">
        <v>130</v>
      </c>
      <c r="P92" s="13"/>
      <c r="Q92" s="13"/>
      <c r="R92" s="13"/>
      <c r="S92" s="14"/>
    </row>
    <row r="93" spans="3:19" ht="20.25" thickTop="1" thickBot="1">
      <c r="C93" s="12"/>
      <c r="D93" s="13" t="s">
        <v>121</v>
      </c>
      <c r="E93" s="16">
        <v>133</v>
      </c>
      <c r="F93" s="13" t="s">
        <v>106</v>
      </c>
      <c r="G93" s="13" t="s">
        <v>108</v>
      </c>
      <c r="H93" s="13"/>
      <c r="I93" s="17">
        <f>$E$93/1000</f>
        <v>0.13300000000000001</v>
      </c>
      <c r="J93" s="14" t="s">
        <v>109</v>
      </c>
      <c r="L93" s="12"/>
      <c r="M93" s="45" t="s">
        <v>104</v>
      </c>
      <c r="N93" s="50">
        <f>R93*1000</f>
        <v>0.23999574733333331</v>
      </c>
      <c r="O93" s="13" t="s">
        <v>106</v>
      </c>
      <c r="P93" s="13" t="s">
        <v>129</v>
      </c>
      <c r="Q93" s="13"/>
      <c r="R93" s="49">
        <f>$N$92*10^(-8)*$R$95/($R$97*$R$94)</f>
        <v>2.3999574733333333E-4</v>
      </c>
      <c r="S93" s="14" t="s">
        <v>109</v>
      </c>
    </row>
    <row r="94" spans="3:19" ht="19.5" thickBot="1">
      <c r="C94" s="12"/>
      <c r="D94" s="13"/>
      <c r="E94" s="35"/>
      <c r="F94" s="35"/>
      <c r="G94" s="35"/>
      <c r="H94" s="35"/>
      <c r="I94" s="35"/>
      <c r="J94" s="14"/>
      <c r="L94" s="12"/>
      <c r="M94" s="13" t="s">
        <v>105</v>
      </c>
      <c r="N94" s="16">
        <v>8.9999999999999993E-3</v>
      </c>
      <c r="O94" s="13" t="s">
        <v>106</v>
      </c>
      <c r="P94" s="13" t="s">
        <v>108</v>
      </c>
      <c r="Q94" s="13"/>
      <c r="R94" s="43">
        <f>$E$74/1000</f>
        <v>8.9999999999999985E-6</v>
      </c>
      <c r="S94" s="14" t="s">
        <v>109</v>
      </c>
    </row>
    <row r="95" spans="3:19" ht="19.5" thickBot="1">
      <c r="C95" s="12"/>
      <c r="D95" s="13"/>
      <c r="E95" s="35"/>
      <c r="F95" s="35"/>
      <c r="G95" s="13" t="s">
        <v>123</v>
      </c>
      <c r="H95" s="13" t="s">
        <v>122</v>
      </c>
      <c r="I95" s="30">
        <f>1*$E$92/(2*$I$93)</f>
        <v>1301.1278195488721</v>
      </c>
      <c r="J95" s="14" t="s">
        <v>126</v>
      </c>
      <c r="L95" s="12"/>
      <c r="M95" s="13" t="s">
        <v>107</v>
      </c>
      <c r="N95" s="16">
        <v>3527.62</v>
      </c>
      <c r="O95" s="13" t="s">
        <v>106</v>
      </c>
      <c r="P95" s="13" t="s">
        <v>108</v>
      </c>
      <c r="Q95" s="13"/>
      <c r="R95" s="17">
        <f>$E$75/1000</f>
        <v>3.5276199999999998</v>
      </c>
      <c r="S95" s="14" t="s">
        <v>109</v>
      </c>
    </row>
    <row r="96" spans="3:19" ht="19.5" thickBot="1">
      <c r="C96" s="12"/>
      <c r="D96" s="13"/>
      <c r="E96" s="13"/>
      <c r="F96" s="13"/>
      <c r="G96" s="13" t="s">
        <v>124</v>
      </c>
      <c r="H96" s="13" t="s">
        <v>122</v>
      </c>
      <c r="I96" s="30">
        <f>2*$E$92/(2*$I$93)</f>
        <v>2602.2556390977443</v>
      </c>
      <c r="J96" s="14" t="s">
        <v>126</v>
      </c>
      <c r="L96" s="12"/>
      <c r="M96" s="13"/>
      <c r="N96" s="13"/>
      <c r="O96" s="13"/>
      <c r="P96" s="13"/>
      <c r="Q96" s="13"/>
      <c r="R96" s="37"/>
      <c r="S96" s="14"/>
    </row>
    <row r="97" spans="3:19" ht="19.5" thickBot="1">
      <c r="C97" s="12"/>
      <c r="D97" s="13"/>
      <c r="E97" s="13"/>
      <c r="F97" s="13"/>
      <c r="G97" s="13" t="s">
        <v>125</v>
      </c>
      <c r="H97" s="13" t="s">
        <v>122</v>
      </c>
      <c r="I97" s="30">
        <f>3*$E$92/(2*$I$93)</f>
        <v>3903.3834586466169</v>
      </c>
      <c r="J97" s="14" t="s">
        <v>126</v>
      </c>
      <c r="L97" s="12"/>
      <c r="M97" s="13"/>
      <c r="N97" s="13"/>
      <c r="O97" s="13"/>
      <c r="P97" s="13"/>
      <c r="Q97" s="39" t="s">
        <v>110</v>
      </c>
      <c r="R97" s="38">
        <v>40</v>
      </c>
      <c r="S97" s="14" t="s">
        <v>111</v>
      </c>
    </row>
    <row r="98" spans="3:19" ht="19.5" thickBot="1">
      <c r="C98" s="19"/>
      <c r="D98" s="20"/>
      <c r="E98" s="20"/>
      <c r="F98" s="20"/>
      <c r="G98" s="20"/>
      <c r="H98" s="20"/>
      <c r="I98" s="20"/>
      <c r="J98" s="21"/>
      <c r="L98" s="19"/>
      <c r="M98" s="20"/>
      <c r="N98" s="20"/>
      <c r="O98" s="20"/>
      <c r="P98" s="20"/>
      <c r="Q98" s="20"/>
      <c r="R98" s="20"/>
      <c r="S98" s="21"/>
    </row>
  </sheetData>
  <phoneticPr fontId="1"/>
  <pageMargins left="0.7" right="0.7" top="0.75" bottom="0.75" header="0.3" footer="0.3"/>
  <pageSetup paperSize="9" scale="44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05"/>
  <sheetViews>
    <sheetView topLeftCell="A7" zoomScale="70" zoomScaleNormal="70" workbookViewId="0">
      <selection activeCell="I6" sqref="I6"/>
    </sheetView>
  </sheetViews>
  <sheetFormatPr defaultColWidth="8.875" defaultRowHeight="18.75"/>
  <cols>
    <col min="1" max="25" width="10.75" style="26" customWidth="1"/>
    <col min="26" max="28" width="12.25" style="26" customWidth="1"/>
    <col min="29" max="16384" width="8.875" style="26"/>
  </cols>
  <sheetData>
    <row r="1" spans="2:14" ht="19.5" thickBot="1"/>
    <row r="2" spans="2:14">
      <c r="B2" s="27"/>
      <c r="C2" s="22"/>
      <c r="D2" s="10" t="s">
        <v>89</v>
      </c>
      <c r="E2" s="10"/>
      <c r="F2" s="10"/>
      <c r="G2" s="10"/>
      <c r="H2" s="10"/>
      <c r="I2" s="10"/>
      <c r="J2" s="11"/>
      <c r="N2" s="27"/>
    </row>
    <row r="3" spans="2:14" ht="19.5" thickBot="1">
      <c r="B3" s="27"/>
      <c r="C3" s="12"/>
      <c r="D3" s="13"/>
      <c r="E3" s="13"/>
      <c r="F3" s="13"/>
      <c r="G3" s="13"/>
      <c r="H3" s="13"/>
      <c r="I3" s="13"/>
      <c r="J3" s="14"/>
      <c r="N3" s="27"/>
    </row>
    <row r="4" spans="2:14" ht="19.5" thickBot="1">
      <c r="B4" s="27"/>
      <c r="C4" s="12"/>
      <c r="D4" s="13"/>
      <c r="E4" s="15" t="s">
        <v>45</v>
      </c>
      <c r="F4" s="16">
        <v>1.29</v>
      </c>
      <c r="G4" s="13" t="s">
        <v>46</v>
      </c>
      <c r="H4" s="13"/>
      <c r="I4" s="13"/>
      <c r="J4" s="14"/>
      <c r="N4" s="27"/>
    </row>
    <row r="5" spans="2:14" ht="19.5" thickBot="1">
      <c r="B5" s="27"/>
      <c r="C5" s="12"/>
      <c r="D5" s="13"/>
      <c r="E5" s="23" t="s">
        <v>47</v>
      </c>
      <c r="F5" s="16">
        <v>30</v>
      </c>
      <c r="G5" s="13" t="s">
        <v>48</v>
      </c>
      <c r="H5" s="13" t="s">
        <v>35</v>
      </c>
      <c r="I5" s="17">
        <f>F5/1000</f>
        <v>0.03</v>
      </c>
      <c r="J5" s="14" t="s">
        <v>49</v>
      </c>
      <c r="N5" s="27"/>
    </row>
    <row r="6" spans="2:14" ht="19.5" thickBot="1">
      <c r="B6" s="27"/>
      <c r="C6" s="12"/>
      <c r="D6" s="13"/>
      <c r="E6" s="15" t="s">
        <v>36</v>
      </c>
      <c r="F6" s="16">
        <v>1.5</v>
      </c>
      <c r="G6" s="13" t="s">
        <v>37</v>
      </c>
      <c r="H6" s="13" t="s">
        <v>35</v>
      </c>
      <c r="I6" s="17">
        <f>F6/1000</f>
        <v>1.5E-3</v>
      </c>
      <c r="J6" s="14" t="s">
        <v>38</v>
      </c>
      <c r="N6" s="27"/>
    </row>
    <row r="7" spans="2:14" ht="19.5" thickBot="1">
      <c r="B7" s="27"/>
      <c r="C7" s="12"/>
      <c r="D7" s="13"/>
      <c r="E7" s="15" t="s">
        <v>42</v>
      </c>
      <c r="F7" s="16">
        <v>200</v>
      </c>
      <c r="G7" s="13" t="s">
        <v>43</v>
      </c>
      <c r="H7" s="13"/>
      <c r="I7" s="13" t="s">
        <v>90</v>
      </c>
      <c r="J7" s="14"/>
      <c r="N7" s="27"/>
    </row>
    <row r="8" spans="2:14" ht="19.5" thickBot="1">
      <c r="B8" s="27"/>
      <c r="C8" s="12"/>
      <c r="D8" s="13"/>
      <c r="E8" s="23" t="s">
        <v>53</v>
      </c>
      <c r="F8" s="16">
        <v>7.3</v>
      </c>
      <c r="G8" s="13" t="s">
        <v>54</v>
      </c>
      <c r="H8" s="13" t="s">
        <v>113</v>
      </c>
      <c r="I8" s="17">
        <f>2*PI()*$F$7*$I$6/($F$12^2/$F$8+$F$11)</f>
        <v>1.0747470645348696</v>
      </c>
      <c r="J8" s="14"/>
      <c r="N8" s="27"/>
    </row>
    <row r="9" spans="2:14" ht="19.5" thickBot="1">
      <c r="B9" s="27"/>
      <c r="C9" s="12"/>
      <c r="D9" s="13"/>
      <c r="E9" s="15" t="s">
        <v>91</v>
      </c>
      <c r="F9" s="16">
        <v>1</v>
      </c>
      <c r="G9" s="13" t="s">
        <v>49</v>
      </c>
      <c r="H9" s="13"/>
      <c r="I9" s="13" t="s">
        <v>92</v>
      </c>
      <c r="J9" s="14"/>
      <c r="N9" s="27"/>
    </row>
    <row r="10" spans="2:14" ht="19.5" thickBot="1">
      <c r="B10" s="27"/>
      <c r="C10" s="12"/>
      <c r="D10" s="13"/>
      <c r="E10" s="15" t="s">
        <v>93</v>
      </c>
      <c r="F10" s="16">
        <v>2.83</v>
      </c>
      <c r="G10" s="13" t="s">
        <v>58</v>
      </c>
      <c r="H10" s="13"/>
      <c r="I10" s="17">
        <f>$F$4*$I$5^2*$F$10*$F$12/(2*$F$9*$I$6*$F$8)</f>
        <v>0.48369274520547945</v>
      </c>
      <c r="J10" s="14"/>
      <c r="N10" s="27"/>
    </row>
    <row r="11" spans="2:14" ht="19.5" thickBot="1">
      <c r="C11" s="12"/>
      <c r="D11" s="13"/>
      <c r="E11" s="15" t="s">
        <v>72</v>
      </c>
      <c r="F11" s="16">
        <v>0.33</v>
      </c>
      <c r="G11" s="13" t="s">
        <v>73</v>
      </c>
      <c r="H11" s="13"/>
      <c r="I11" s="13"/>
      <c r="J11" s="14"/>
    </row>
    <row r="12" spans="2:14" ht="19.5" thickBot="1">
      <c r="C12" s="12"/>
      <c r="D12" s="13"/>
      <c r="E12" s="15" t="s">
        <v>68</v>
      </c>
      <c r="F12" s="16">
        <v>3.2240000000000002</v>
      </c>
      <c r="G12" s="13" t="s">
        <v>69</v>
      </c>
      <c r="H12" s="13"/>
      <c r="I12" s="13"/>
      <c r="J12" s="14"/>
    </row>
    <row r="13" spans="2:14" ht="19.5" thickBot="1">
      <c r="C13" s="12"/>
      <c r="D13" s="13"/>
      <c r="E13" s="15" t="s">
        <v>82</v>
      </c>
      <c r="F13" s="16">
        <v>100</v>
      </c>
      <c r="G13" s="13" t="s">
        <v>43</v>
      </c>
      <c r="H13" s="5" t="s">
        <v>96</v>
      </c>
      <c r="I13" s="24" t="s">
        <v>97</v>
      </c>
      <c r="J13" s="14"/>
    </row>
    <row r="14" spans="2:14" ht="19.5" thickBot="1">
      <c r="C14" s="12"/>
      <c r="D14" s="13"/>
      <c r="E14" s="13" t="s">
        <v>84</v>
      </c>
      <c r="F14" s="16">
        <f>2*10^(-5)</f>
        <v>2.0000000000000002E-5</v>
      </c>
      <c r="G14" s="13" t="s">
        <v>85</v>
      </c>
      <c r="H14" s="13"/>
      <c r="I14" s="13"/>
      <c r="J14" s="14"/>
    </row>
    <row r="15" spans="2:14" ht="19.5" thickBot="1">
      <c r="C15" s="19"/>
      <c r="D15" s="20"/>
      <c r="E15" s="20"/>
      <c r="F15" s="20"/>
      <c r="G15" s="20"/>
      <c r="H15" s="20"/>
      <c r="I15" s="20"/>
      <c r="J15" s="21"/>
    </row>
    <row r="16" spans="2:14">
      <c r="C16" s="29"/>
      <c r="D16" s="29"/>
      <c r="E16" s="29"/>
      <c r="F16" s="29"/>
      <c r="G16" s="29"/>
      <c r="H16" s="29"/>
      <c r="I16" s="29"/>
      <c r="J16" s="29"/>
    </row>
    <row r="17" spans="2:19">
      <c r="B17" s="3" t="s">
        <v>99</v>
      </c>
      <c r="C17" s="26" t="s">
        <v>100</v>
      </c>
      <c r="D17" s="26" t="s">
        <v>101</v>
      </c>
      <c r="E17" s="26" t="s">
        <v>102</v>
      </c>
      <c r="R17"/>
      <c r="S17"/>
    </row>
    <row r="18" spans="2:19">
      <c r="B18" s="3">
        <v>16</v>
      </c>
      <c r="C18" s="26">
        <f>B18/$F$7</f>
        <v>0.08</v>
      </c>
      <c r="D18" s="26">
        <f>$I$10*C18/SQRT(1/$I$8^2+(C18-1/C18)^2)</f>
        <v>3.1068670334136184E-3</v>
      </c>
      <c r="E18" s="26">
        <f>20*LOG10(D18/(2/100000))</f>
        <v>43.825853424169807</v>
      </c>
      <c r="R18"/>
      <c r="S18"/>
    </row>
    <row r="19" spans="2:19">
      <c r="B19" s="3">
        <v>20</v>
      </c>
      <c r="C19" s="26">
        <f t="shared" ref="C19:C82" si="0">B19/$F$7</f>
        <v>0.1</v>
      </c>
      <c r="D19" s="26">
        <f t="shared" ref="D19:D82" si="1">$I$10*C19/SQRT(1/$I$8^2+(C19-1/C19)^2)</f>
        <v>4.8643487057521166E-3</v>
      </c>
      <c r="E19" s="26">
        <f t="shared" ref="E19:E82" si="2">20*LOG10(D19/(2/100000))</f>
        <v>47.719894091108202</v>
      </c>
      <c r="R19"/>
      <c r="S19"/>
    </row>
    <row r="20" spans="2:19">
      <c r="B20" s="3">
        <v>25</v>
      </c>
      <c r="C20" s="26">
        <f t="shared" si="0"/>
        <v>0.125</v>
      </c>
      <c r="D20" s="26">
        <f t="shared" si="1"/>
        <v>7.6246270654325259E-3</v>
      </c>
      <c r="E20" s="26">
        <f t="shared" si="2"/>
        <v>51.623772214609858</v>
      </c>
      <c r="R20"/>
      <c r="S20"/>
    </row>
    <row r="21" spans="2:19">
      <c r="B21" s="3">
        <v>31.5</v>
      </c>
      <c r="C21" s="26">
        <f t="shared" si="0"/>
        <v>0.1575</v>
      </c>
      <c r="D21" s="26">
        <f t="shared" si="1"/>
        <v>1.2167200382606274E-2</v>
      </c>
      <c r="E21" s="26">
        <f>20*LOG10(D21/(2/100000))</f>
        <v>55.683213297572216</v>
      </c>
      <c r="R21"/>
      <c r="S21"/>
    </row>
    <row r="22" spans="2:19">
      <c r="B22" s="3">
        <v>40</v>
      </c>
      <c r="C22" s="26">
        <f t="shared" si="0"/>
        <v>0.2</v>
      </c>
      <c r="D22" s="26">
        <f t="shared" si="1"/>
        <v>1.978556577920651E-2</v>
      </c>
      <c r="E22" s="26">
        <f t="shared" si="2"/>
        <v>59.906369560135232</v>
      </c>
      <c r="R22"/>
      <c r="S22"/>
    </row>
    <row r="23" spans="2:19">
      <c r="B23" s="3">
        <v>50</v>
      </c>
      <c r="C23" s="26">
        <f t="shared" si="0"/>
        <v>0.25</v>
      </c>
      <c r="D23" s="26">
        <f t="shared" si="1"/>
        <v>3.129718510487034E-2</v>
      </c>
      <c r="E23" s="26">
        <f t="shared" si="2"/>
        <v>63.889505656565426</v>
      </c>
      <c r="R23"/>
      <c r="S23"/>
    </row>
    <row r="24" spans="2:19">
      <c r="B24" s="3">
        <v>63</v>
      </c>
      <c r="C24" s="26">
        <f t="shared" si="0"/>
        <v>0.315</v>
      </c>
      <c r="D24" s="26">
        <f t="shared" si="1"/>
        <v>5.0666648132275519E-2</v>
      </c>
      <c r="E24" s="26">
        <f t="shared" si="2"/>
        <v>68.073843573833656</v>
      </c>
      <c r="R24"/>
      <c r="S24"/>
    </row>
    <row r="25" spans="2:19">
      <c r="B25" s="3">
        <v>80</v>
      </c>
      <c r="C25" s="26">
        <f t="shared" si="0"/>
        <v>0.4</v>
      </c>
      <c r="D25" s="26">
        <f t="shared" si="1"/>
        <v>8.4234087243699768E-2</v>
      </c>
      <c r="E25" s="26">
        <f t="shared" si="2"/>
        <v>72.489157571361773</v>
      </c>
      <c r="R25"/>
      <c r="S25"/>
    </row>
    <row r="26" spans="2:19">
      <c r="B26" s="3">
        <v>100</v>
      </c>
      <c r="C26" s="26">
        <f t="shared" si="0"/>
        <v>0.5</v>
      </c>
      <c r="D26" s="26">
        <f t="shared" si="1"/>
        <v>0.13701211664501226</v>
      </c>
      <c r="E26" s="26">
        <f>20*LOG10(D26/(2/100000))</f>
        <v>76.714579599101157</v>
      </c>
      <c r="R26"/>
      <c r="S26"/>
    </row>
    <row r="27" spans="2:19">
      <c r="B27" s="3">
        <v>125</v>
      </c>
      <c r="C27" s="26">
        <f t="shared" si="0"/>
        <v>0.625</v>
      </c>
      <c r="D27" s="26">
        <f t="shared" si="1"/>
        <v>0.22430968890151115</v>
      </c>
      <c r="E27" s="26">
        <f t="shared" si="2"/>
        <v>80.996360747464294</v>
      </c>
      <c r="R27"/>
      <c r="S27"/>
    </row>
    <row r="28" spans="2:19">
      <c r="B28" s="3">
        <v>160</v>
      </c>
      <c r="C28" s="26">
        <f t="shared" si="0"/>
        <v>0.8</v>
      </c>
      <c r="D28" s="26">
        <f t="shared" si="1"/>
        <v>0.37439078455051594</v>
      </c>
      <c r="E28" s="26">
        <f t="shared" si="2"/>
        <v>85.445903091668058</v>
      </c>
      <c r="R28"/>
      <c r="S28"/>
    </row>
    <row r="29" spans="2:19">
      <c r="B29" s="3">
        <v>200</v>
      </c>
      <c r="C29" s="26">
        <f t="shared" si="0"/>
        <v>1</v>
      </c>
      <c r="D29" s="26">
        <f t="shared" si="1"/>
        <v>0.51984735804640159</v>
      </c>
      <c r="E29" s="26">
        <f t="shared" si="2"/>
        <v>88.29691690981079</v>
      </c>
      <c r="R29"/>
      <c r="S29"/>
    </row>
    <row r="30" spans="2:19">
      <c r="B30" s="3">
        <v>250</v>
      </c>
      <c r="C30" s="26">
        <f t="shared" si="0"/>
        <v>1.25</v>
      </c>
      <c r="D30" s="26">
        <f t="shared" si="1"/>
        <v>0.58498560086018114</v>
      </c>
      <c r="E30" s="26">
        <f t="shared" si="2"/>
        <v>89.322303611990307</v>
      </c>
      <c r="R30"/>
      <c r="S30"/>
    </row>
    <row r="31" spans="2:19">
      <c r="B31" s="3">
        <v>315</v>
      </c>
      <c r="C31" s="26">
        <f t="shared" si="0"/>
        <v>1.575</v>
      </c>
      <c r="D31" s="26">
        <f t="shared" si="1"/>
        <v>0.57596288960540987</v>
      </c>
      <c r="E31" s="26">
        <f t="shared" si="2"/>
        <v>89.18729012467071</v>
      </c>
      <c r="R31"/>
      <c r="S31"/>
    </row>
    <row r="32" spans="2:19">
      <c r="B32" s="3">
        <v>400</v>
      </c>
      <c r="C32" s="26">
        <f t="shared" si="0"/>
        <v>2</v>
      </c>
      <c r="D32" s="26">
        <f t="shared" si="1"/>
        <v>0.54804846658004902</v>
      </c>
      <c r="E32" s="26">
        <f t="shared" si="2"/>
        <v>88.755779425660393</v>
      </c>
      <c r="R32"/>
      <c r="S32"/>
    </row>
    <row r="33" spans="2:19">
      <c r="B33" s="3">
        <v>500</v>
      </c>
      <c r="C33" s="26">
        <f t="shared" si="0"/>
        <v>2.5</v>
      </c>
      <c r="D33" s="26">
        <f t="shared" si="1"/>
        <v>0.52646304527312349</v>
      </c>
      <c r="E33" s="26">
        <f t="shared" si="2"/>
        <v>88.406757918243272</v>
      </c>
      <c r="R33"/>
      <c r="S33"/>
    </row>
    <row r="34" spans="2:19">
      <c r="B34" s="3">
        <v>630</v>
      </c>
      <c r="C34" s="26">
        <f t="shared" si="0"/>
        <v>3.15</v>
      </c>
      <c r="D34" s="26">
        <f t="shared" si="1"/>
        <v>0.51103796006613866</v>
      </c>
      <c r="E34" s="26">
        <f t="shared" si="2"/>
        <v>88.148463304089958</v>
      </c>
      <c r="R34"/>
      <c r="S34"/>
    </row>
    <row r="35" spans="2:19">
      <c r="B35" s="3">
        <v>800</v>
      </c>
      <c r="C35" s="26">
        <f t="shared" si="0"/>
        <v>4</v>
      </c>
      <c r="D35" s="26">
        <f t="shared" si="1"/>
        <v>0.50075496167792544</v>
      </c>
      <c r="E35" s="26">
        <f t="shared" si="2"/>
        <v>87.971905309683919</v>
      </c>
      <c r="R35"/>
      <c r="S35"/>
    </row>
    <row r="36" spans="2:19">
      <c r="B36" s="3">
        <v>1000</v>
      </c>
      <c r="C36" s="26">
        <f t="shared" si="0"/>
        <v>5</v>
      </c>
      <c r="D36" s="26">
        <f t="shared" si="1"/>
        <v>0.49463914448016277</v>
      </c>
      <c r="E36" s="26">
        <f t="shared" si="2"/>
        <v>87.865169733575982</v>
      </c>
      <c r="R36"/>
      <c r="S36"/>
    </row>
    <row r="37" spans="2:19">
      <c r="B37" s="3">
        <v>1250</v>
      </c>
      <c r="C37" s="26">
        <f t="shared" si="0"/>
        <v>6.25</v>
      </c>
      <c r="D37" s="26">
        <f t="shared" si="1"/>
        <v>0.49070640862285797</v>
      </c>
      <c r="E37" s="26">
        <f t="shared" si="2"/>
        <v>87.795834684747859</v>
      </c>
      <c r="R37"/>
      <c r="S37"/>
    </row>
    <row r="38" spans="2:19">
      <c r="B38" s="3">
        <v>1600</v>
      </c>
      <c r="C38" s="26">
        <f t="shared" si="0"/>
        <v>8</v>
      </c>
      <c r="D38" s="26">
        <f t="shared" si="1"/>
        <v>0.48797613218768165</v>
      </c>
      <c r="E38" s="26">
        <f t="shared" si="2"/>
        <v>87.747371694287594</v>
      </c>
      <c r="R38"/>
      <c r="S38"/>
    </row>
    <row r="39" spans="2:19">
      <c r="B39" s="3">
        <v>2000</v>
      </c>
      <c r="C39" s="26">
        <f t="shared" si="0"/>
        <v>10</v>
      </c>
      <c r="D39" s="26">
        <f t="shared" si="1"/>
        <v>0.48643487057521162</v>
      </c>
      <c r="E39" s="26">
        <f t="shared" si="2"/>
        <v>87.719894091108188</v>
      </c>
      <c r="R39"/>
      <c r="S39"/>
    </row>
    <row r="40" spans="2:19">
      <c r="B40" s="3">
        <v>2500</v>
      </c>
      <c r="C40" s="26">
        <f t="shared" si="0"/>
        <v>12.5</v>
      </c>
      <c r="D40" s="26">
        <f t="shared" si="1"/>
        <v>0.48544797397087797</v>
      </c>
      <c r="E40" s="26">
        <f t="shared" si="2"/>
        <v>87.702253944492071</v>
      </c>
      <c r="R40"/>
      <c r="S40"/>
    </row>
    <row r="41" spans="2:19">
      <c r="B41" s="3">
        <v>3150</v>
      </c>
      <c r="C41" s="26">
        <f t="shared" si="0"/>
        <v>15.75</v>
      </c>
      <c r="D41" s="26">
        <f t="shared" si="1"/>
        <v>0.48479843167623993</v>
      </c>
      <c r="E41" s="26">
        <f t="shared" si="2"/>
        <v>87.690624211062499</v>
      </c>
      <c r="R41"/>
      <c r="S41"/>
    </row>
    <row r="42" spans="2:19">
      <c r="B42" s="3">
        <v>4000</v>
      </c>
      <c r="C42" s="26">
        <f t="shared" si="0"/>
        <v>20</v>
      </c>
      <c r="D42" s="26">
        <f t="shared" si="1"/>
        <v>0.48437848086400737</v>
      </c>
      <c r="E42" s="26">
        <f t="shared" si="2"/>
        <v>87.683096902911529</v>
      </c>
      <c r="R42"/>
      <c r="S42"/>
    </row>
    <row r="43" spans="2:19">
      <c r="B43" s="3">
        <v>5000</v>
      </c>
      <c r="C43" s="26">
        <f t="shared" si="0"/>
        <v>25</v>
      </c>
      <c r="D43" s="26">
        <f t="shared" si="1"/>
        <v>0.48413162937800469</v>
      </c>
      <c r="E43" s="26">
        <f t="shared" si="2"/>
        <v>87.678669226239549</v>
      </c>
      <c r="R43"/>
      <c r="S43"/>
    </row>
    <row r="44" spans="2:19">
      <c r="B44" s="3">
        <v>6300</v>
      </c>
      <c r="C44" s="26">
        <f t="shared" si="0"/>
        <v>31.5</v>
      </c>
      <c r="D44" s="26">
        <f t="shared" si="1"/>
        <v>0.48396919562507146</v>
      </c>
      <c r="E44" s="26">
        <f t="shared" si="2"/>
        <v>87.675754485071536</v>
      </c>
      <c r="R44"/>
      <c r="S44"/>
    </row>
    <row r="45" spans="2:19">
      <c r="B45" s="3">
        <v>8000</v>
      </c>
      <c r="C45" s="26">
        <f t="shared" si="0"/>
        <v>40</v>
      </c>
      <c r="D45" s="26">
        <f t="shared" si="1"/>
        <v>0.48386418976613133</v>
      </c>
      <c r="E45" s="26">
        <f t="shared" si="2"/>
        <v>87.673869719946765</v>
      </c>
      <c r="R45"/>
      <c r="S45"/>
    </row>
    <row r="46" spans="2:19">
      <c r="B46" s="3">
        <v>10000</v>
      </c>
      <c r="C46" s="26">
        <f t="shared" si="0"/>
        <v>50</v>
      </c>
      <c r="D46" s="26">
        <f t="shared" si="1"/>
        <v>0.48380247050570901</v>
      </c>
      <c r="E46" s="26">
        <f t="shared" si="2"/>
        <v>87.672761721278818</v>
      </c>
      <c r="R46"/>
      <c r="S46"/>
    </row>
    <row r="47" spans="2:19">
      <c r="B47" s="3"/>
      <c r="C47" s="26">
        <f t="shared" si="0"/>
        <v>0</v>
      </c>
      <c r="D47" s="26" t="e">
        <f t="shared" si="1"/>
        <v>#DIV/0!</v>
      </c>
      <c r="E47" s="26" t="e">
        <f t="shared" si="2"/>
        <v>#DIV/0!</v>
      </c>
      <c r="R47"/>
      <c r="S47"/>
    </row>
    <row r="48" spans="2:19">
      <c r="B48" s="3"/>
      <c r="C48" s="26">
        <f t="shared" si="0"/>
        <v>0</v>
      </c>
      <c r="D48" s="26" t="e">
        <f t="shared" si="1"/>
        <v>#DIV/0!</v>
      </c>
      <c r="E48" s="26" t="e">
        <f t="shared" si="2"/>
        <v>#DIV/0!</v>
      </c>
      <c r="R48"/>
      <c r="S48"/>
    </row>
    <row r="49" spans="2:5">
      <c r="B49" s="3"/>
      <c r="C49" s="26">
        <f t="shared" si="0"/>
        <v>0</v>
      </c>
      <c r="D49" s="26" t="e">
        <f t="shared" si="1"/>
        <v>#DIV/0!</v>
      </c>
      <c r="E49" s="26" t="e">
        <f t="shared" si="2"/>
        <v>#DIV/0!</v>
      </c>
    </row>
    <row r="50" spans="2:5">
      <c r="B50" s="3"/>
      <c r="C50" s="26">
        <f t="shared" si="0"/>
        <v>0</v>
      </c>
      <c r="D50" s="26" t="e">
        <f t="shared" si="1"/>
        <v>#DIV/0!</v>
      </c>
      <c r="E50" s="26" t="e">
        <f t="shared" si="2"/>
        <v>#DIV/0!</v>
      </c>
    </row>
    <row r="51" spans="2:5">
      <c r="B51" s="3"/>
      <c r="C51" s="26">
        <f t="shared" si="0"/>
        <v>0</v>
      </c>
      <c r="D51" s="26" t="e">
        <f t="shared" si="1"/>
        <v>#DIV/0!</v>
      </c>
      <c r="E51" s="26" t="e">
        <f t="shared" si="2"/>
        <v>#DIV/0!</v>
      </c>
    </row>
    <row r="52" spans="2:5">
      <c r="B52" s="3"/>
      <c r="C52" s="26">
        <f t="shared" si="0"/>
        <v>0</v>
      </c>
      <c r="D52" s="26" t="e">
        <f t="shared" si="1"/>
        <v>#DIV/0!</v>
      </c>
      <c r="E52" s="26" t="e">
        <f t="shared" si="2"/>
        <v>#DIV/0!</v>
      </c>
    </row>
    <row r="53" spans="2:5">
      <c r="B53" s="3"/>
      <c r="C53" s="26">
        <f t="shared" si="0"/>
        <v>0</v>
      </c>
      <c r="D53" s="26" t="e">
        <f t="shared" si="1"/>
        <v>#DIV/0!</v>
      </c>
      <c r="E53" s="26" t="e">
        <f t="shared" si="2"/>
        <v>#DIV/0!</v>
      </c>
    </row>
    <row r="54" spans="2:5">
      <c r="B54" s="3"/>
      <c r="C54" s="26">
        <f t="shared" si="0"/>
        <v>0</v>
      </c>
      <c r="D54" s="26" t="e">
        <f t="shared" si="1"/>
        <v>#DIV/0!</v>
      </c>
      <c r="E54" s="26" t="e">
        <f t="shared" si="2"/>
        <v>#DIV/0!</v>
      </c>
    </row>
    <row r="55" spans="2:5">
      <c r="B55" s="3"/>
      <c r="C55" s="26">
        <f t="shared" si="0"/>
        <v>0</v>
      </c>
      <c r="D55" s="26" t="e">
        <f t="shared" si="1"/>
        <v>#DIV/0!</v>
      </c>
      <c r="E55" s="26" t="e">
        <f t="shared" si="2"/>
        <v>#DIV/0!</v>
      </c>
    </row>
    <row r="56" spans="2:5">
      <c r="B56" s="3"/>
      <c r="C56" s="26">
        <f t="shared" si="0"/>
        <v>0</v>
      </c>
      <c r="D56" s="26" t="e">
        <f t="shared" si="1"/>
        <v>#DIV/0!</v>
      </c>
      <c r="E56" s="26" t="e">
        <f t="shared" si="2"/>
        <v>#DIV/0!</v>
      </c>
    </row>
    <row r="57" spans="2:5">
      <c r="B57" s="3"/>
      <c r="C57" s="26">
        <f t="shared" si="0"/>
        <v>0</v>
      </c>
      <c r="D57" s="26" t="e">
        <f t="shared" si="1"/>
        <v>#DIV/0!</v>
      </c>
      <c r="E57" s="26" t="e">
        <f t="shared" si="2"/>
        <v>#DIV/0!</v>
      </c>
    </row>
    <row r="58" spans="2:5">
      <c r="B58" s="3"/>
      <c r="C58" s="26">
        <f t="shared" si="0"/>
        <v>0</v>
      </c>
      <c r="D58" s="26" t="e">
        <f t="shared" si="1"/>
        <v>#DIV/0!</v>
      </c>
      <c r="E58" s="26" t="e">
        <f t="shared" si="2"/>
        <v>#DIV/0!</v>
      </c>
    </row>
    <row r="59" spans="2:5">
      <c r="B59" s="3"/>
      <c r="C59" s="26">
        <f t="shared" si="0"/>
        <v>0</v>
      </c>
      <c r="D59" s="26" t="e">
        <f t="shared" si="1"/>
        <v>#DIV/0!</v>
      </c>
      <c r="E59" s="26" t="e">
        <f t="shared" si="2"/>
        <v>#DIV/0!</v>
      </c>
    </row>
    <row r="60" spans="2:5">
      <c r="B60" s="3"/>
      <c r="C60" s="26">
        <f t="shared" si="0"/>
        <v>0</v>
      </c>
      <c r="D60" s="26" t="e">
        <f t="shared" si="1"/>
        <v>#DIV/0!</v>
      </c>
      <c r="E60" s="26" t="e">
        <f t="shared" si="2"/>
        <v>#DIV/0!</v>
      </c>
    </row>
    <row r="61" spans="2:5">
      <c r="B61" s="3"/>
      <c r="C61" s="26">
        <f t="shared" si="0"/>
        <v>0</v>
      </c>
      <c r="D61" s="26" t="e">
        <f t="shared" si="1"/>
        <v>#DIV/0!</v>
      </c>
      <c r="E61" s="26" t="e">
        <f t="shared" si="2"/>
        <v>#DIV/0!</v>
      </c>
    </row>
    <row r="62" spans="2:5">
      <c r="B62" s="3"/>
      <c r="C62" s="26">
        <f t="shared" si="0"/>
        <v>0</v>
      </c>
      <c r="D62" s="26" t="e">
        <f t="shared" si="1"/>
        <v>#DIV/0!</v>
      </c>
      <c r="E62" s="26" t="e">
        <f t="shared" si="2"/>
        <v>#DIV/0!</v>
      </c>
    </row>
    <row r="63" spans="2:5">
      <c r="B63" s="3"/>
      <c r="C63" s="26">
        <f t="shared" si="0"/>
        <v>0</v>
      </c>
      <c r="D63" s="26" t="e">
        <f t="shared" si="1"/>
        <v>#DIV/0!</v>
      </c>
      <c r="E63" s="26" t="e">
        <f t="shared" si="2"/>
        <v>#DIV/0!</v>
      </c>
    </row>
    <row r="64" spans="2:5">
      <c r="B64" s="3"/>
      <c r="C64" s="26">
        <f t="shared" si="0"/>
        <v>0</v>
      </c>
      <c r="D64" s="26" t="e">
        <f t="shared" si="1"/>
        <v>#DIV/0!</v>
      </c>
      <c r="E64" s="26" t="e">
        <f t="shared" si="2"/>
        <v>#DIV/0!</v>
      </c>
    </row>
    <row r="65" spans="2:5">
      <c r="B65" s="3"/>
      <c r="C65" s="26">
        <f t="shared" si="0"/>
        <v>0</v>
      </c>
      <c r="D65" s="26" t="e">
        <f t="shared" si="1"/>
        <v>#DIV/0!</v>
      </c>
      <c r="E65" s="26" t="e">
        <f t="shared" si="2"/>
        <v>#DIV/0!</v>
      </c>
    </row>
    <row r="66" spans="2:5">
      <c r="B66" s="3"/>
      <c r="C66" s="26">
        <f t="shared" si="0"/>
        <v>0</v>
      </c>
      <c r="D66" s="26" t="e">
        <f t="shared" si="1"/>
        <v>#DIV/0!</v>
      </c>
      <c r="E66" s="26" t="e">
        <f t="shared" si="2"/>
        <v>#DIV/0!</v>
      </c>
    </row>
    <row r="67" spans="2:5">
      <c r="B67" s="3"/>
      <c r="C67" s="26">
        <f t="shared" si="0"/>
        <v>0</v>
      </c>
      <c r="D67" s="26" t="e">
        <f t="shared" si="1"/>
        <v>#DIV/0!</v>
      </c>
      <c r="E67" s="26" t="e">
        <f t="shared" si="2"/>
        <v>#DIV/0!</v>
      </c>
    </row>
    <row r="68" spans="2:5">
      <c r="B68" s="3"/>
      <c r="C68" s="26">
        <f t="shared" si="0"/>
        <v>0</v>
      </c>
      <c r="D68" s="26" t="e">
        <f t="shared" si="1"/>
        <v>#DIV/0!</v>
      </c>
      <c r="E68" s="26" t="e">
        <f t="shared" si="2"/>
        <v>#DIV/0!</v>
      </c>
    </row>
    <row r="69" spans="2:5">
      <c r="B69" s="3"/>
      <c r="C69" s="26">
        <f t="shared" si="0"/>
        <v>0</v>
      </c>
      <c r="D69" s="26" t="e">
        <f t="shared" si="1"/>
        <v>#DIV/0!</v>
      </c>
      <c r="E69" s="26" t="e">
        <f t="shared" si="2"/>
        <v>#DIV/0!</v>
      </c>
    </row>
    <row r="70" spans="2:5">
      <c r="B70" s="3"/>
      <c r="C70" s="26">
        <f t="shared" si="0"/>
        <v>0</v>
      </c>
      <c r="D70" s="26" t="e">
        <f t="shared" si="1"/>
        <v>#DIV/0!</v>
      </c>
      <c r="E70" s="26" t="e">
        <f t="shared" si="2"/>
        <v>#DIV/0!</v>
      </c>
    </row>
    <row r="71" spans="2:5">
      <c r="B71" s="3"/>
      <c r="C71" s="26">
        <f t="shared" si="0"/>
        <v>0</v>
      </c>
      <c r="D71" s="26" t="e">
        <f t="shared" si="1"/>
        <v>#DIV/0!</v>
      </c>
      <c r="E71" s="26" t="e">
        <f t="shared" si="2"/>
        <v>#DIV/0!</v>
      </c>
    </row>
    <row r="72" spans="2:5">
      <c r="B72" s="3"/>
      <c r="C72" s="26">
        <f t="shared" si="0"/>
        <v>0</v>
      </c>
      <c r="D72" s="26" t="e">
        <f t="shared" si="1"/>
        <v>#DIV/0!</v>
      </c>
      <c r="E72" s="26" t="e">
        <f t="shared" si="2"/>
        <v>#DIV/0!</v>
      </c>
    </row>
    <row r="73" spans="2:5">
      <c r="B73" s="3"/>
      <c r="C73" s="26">
        <f t="shared" si="0"/>
        <v>0</v>
      </c>
      <c r="D73" s="26" t="e">
        <f t="shared" si="1"/>
        <v>#DIV/0!</v>
      </c>
      <c r="E73" s="26" t="e">
        <f t="shared" si="2"/>
        <v>#DIV/0!</v>
      </c>
    </row>
    <row r="74" spans="2:5">
      <c r="B74" s="3"/>
      <c r="C74" s="26">
        <f t="shared" si="0"/>
        <v>0</v>
      </c>
      <c r="D74" s="26" t="e">
        <f t="shared" si="1"/>
        <v>#DIV/0!</v>
      </c>
      <c r="E74" s="26" t="e">
        <f t="shared" si="2"/>
        <v>#DIV/0!</v>
      </c>
    </row>
    <row r="75" spans="2:5">
      <c r="B75" s="3"/>
      <c r="C75" s="26">
        <f t="shared" si="0"/>
        <v>0</v>
      </c>
      <c r="D75" s="26" t="e">
        <f t="shared" si="1"/>
        <v>#DIV/0!</v>
      </c>
      <c r="E75" s="26" t="e">
        <f t="shared" si="2"/>
        <v>#DIV/0!</v>
      </c>
    </row>
    <row r="76" spans="2:5">
      <c r="B76" s="3"/>
      <c r="C76" s="26">
        <f t="shared" si="0"/>
        <v>0</v>
      </c>
      <c r="D76" s="26" t="e">
        <f t="shared" si="1"/>
        <v>#DIV/0!</v>
      </c>
      <c r="E76" s="26" t="e">
        <f t="shared" si="2"/>
        <v>#DIV/0!</v>
      </c>
    </row>
    <row r="77" spans="2:5">
      <c r="B77" s="3"/>
      <c r="C77" s="26">
        <f t="shared" si="0"/>
        <v>0</v>
      </c>
      <c r="D77" s="26" t="e">
        <f t="shared" si="1"/>
        <v>#DIV/0!</v>
      </c>
      <c r="E77" s="26" t="e">
        <f t="shared" si="2"/>
        <v>#DIV/0!</v>
      </c>
    </row>
    <row r="78" spans="2:5">
      <c r="B78" s="3"/>
      <c r="C78" s="26">
        <f t="shared" si="0"/>
        <v>0</v>
      </c>
      <c r="D78" s="26" t="e">
        <f t="shared" si="1"/>
        <v>#DIV/0!</v>
      </c>
      <c r="E78" s="26" t="e">
        <f t="shared" si="2"/>
        <v>#DIV/0!</v>
      </c>
    </row>
    <row r="79" spans="2:5">
      <c r="B79" s="3"/>
      <c r="C79" s="26">
        <f t="shared" si="0"/>
        <v>0</v>
      </c>
      <c r="D79" s="26" t="e">
        <f t="shared" si="1"/>
        <v>#DIV/0!</v>
      </c>
      <c r="E79" s="26" t="e">
        <f t="shared" si="2"/>
        <v>#DIV/0!</v>
      </c>
    </row>
    <row r="80" spans="2:5">
      <c r="B80" s="3"/>
      <c r="C80" s="26">
        <f t="shared" si="0"/>
        <v>0</v>
      </c>
      <c r="D80" s="26" t="e">
        <f t="shared" si="1"/>
        <v>#DIV/0!</v>
      </c>
      <c r="E80" s="26" t="e">
        <f t="shared" si="2"/>
        <v>#DIV/0!</v>
      </c>
    </row>
    <row r="81" spans="2:5">
      <c r="B81" s="3"/>
      <c r="C81" s="26">
        <f t="shared" si="0"/>
        <v>0</v>
      </c>
      <c r="D81" s="26" t="e">
        <f t="shared" si="1"/>
        <v>#DIV/0!</v>
      </c>
      <c r="E81" s="26" t="e">
        <f t="shared" si="2"/>
        <v>#DIV/0!</v>
      </c>
    </row>
    <row r="82" spans="2:5">
      <c r="B82" s="3"/>
      <c r="C82" s="26">
        <f t="shared" si="0"/>
        <v>0</v>
      </c>
      <c r="D82" s="26" t="e">
        <f t="shared" si="1"/>
        <v>#DIV/0!</v>
      </c>
      <c r="E82" s="26" t="e">
        <f t="shared" si="2"/>
        <v>#DIV/0!</v>
      </c>
    </row>
    <row r="83" spans="2:5">
      <c r="B83" s="3"/>
      <c r="C83" s="26">
        <f t="shared" ref="C83:C146" si="3">B83/$F$7</f>
        <v>0</v>
      </c>
      <c r="D83" s="26" t="e">
        <f t="shared" ref="D83:D146" si="4">$I$10*C83/SQRT(1/$I$8^2+(C83-1/C83)^2)</f>
        <v>#DIV/0!</v>
      </c>
      <c r="E83" s="26" t="e">
        <f t="shared" ref="E83:E146" si="5">20*LOG10(D83/(2/100000))</f>
        <v>#DIV/0!</v>
      </c>
    </row>
    <row r="84" spans="2:5">
      <c r="B84" s="3"/>
      <c r="C84" s="26">
        <f t="shared" si="3"/>
        <v>0</v>
      </c>
      <c r="D84" s="26" t="e">
        <f t="shared" si="4"/>
        <v>#DIV/0!</v>
      </c>
      <c r="E84" s="26" t="e">
        <f t="shared" si="5"/>
        <v>#DIV/0!</v>
      </c>
    </row>
    <row r="85" spans="2:5">
      <c r="B85" s="3"/>
      <c r="C85" s="26">
        <f t="shared" si="3"/>
        <v>0</v>
      </c>
      <c r="D85" s="26" t="e">
        <f t="shared" si="4"/>
        <v>#DIV/0!</v>
      </c>
      <c r="E85" s="26" t="e">
        <f t="shared" si="5"/>
        <v>#DIV/0!</v>
      </c>
    </row>
    <row r="86" spans="2:5">
      <c r="B86" s="3"/>
      <c r="C86" s="26">
        <f t="shared" si="3"/>
        <v>0</v>
      </c>
      <c r="D86" s="26" t="e">
        <f t="shared" si="4"/>
        <v>#DIV/0!</v>
      </c>
      <c r="E86" s="26" t="e">
        <f t="shared" si="5"/>
        <v>#DIV/0!</v>
      </c>
    </row>
    <row r="87" spans="2:5">
      <c r="B87" s="3"/>
      <c r="C87" s="26">
        <f t="shared" si="3"/>
        <v>0</v>
      </c>
      <c r="D87" s="26" t="e">
        <f t="shared" si="4"/>
        <v>#DIV/0!</v>
      </c>
      <c r="E87" s="26" t="e">
        <f t="shared" si="5"/>
        <v>#DIV/0!</v>
      </c>
    </row>
    <row r="88" spans="2:5">
      <c r="B88" s="3"/>
      <c r="C88" s="26">
        <f t="shared" si="3"/>
        <v>0</v>
      </c>
      <c r="D88" s="26" t="e">
        <f t="shared" si="4"/>
        <v>#DIV/0!</v>
      </c>
      <c r="E88" s="26" t="e">
        <f t="shared" si="5"/>
        <v>#DIV/0!</v>
      </c>
    </row>
    <row r="89" spans="2:5">
      <c r="B89" s="3"/>
      <c r="C89" s="26">
        <f t="shared" si="3"/>
        <v>0</v>
      </c>
      <c r="D89" s="26" t="e">
        <f t="shared" si="4"/>
        <v>#DIV/0!</v>
      </c>
      <c r="E89" s="26" t="e">
        <f>20*LOG10(D89/(2/100000))</f>
        <v>#DIV/0!</v>
      </c>
    </row>
    <row r="90" spans="2:5">
      <c r="B90" s="3"/>
      <c r="C90" s="26">
        <f t="shared" si="3"/>
        <v>0</v>
      </c>
      <c r="D90" s="26" t="e">
        <f t="shared" si="4"/>
        <v>#DIV/0!</v>
      </c>
      <c r="E90" s="26" t="e">
        <f t="shared" si="5"/>
        <v>#DIV/0!</v>
      </c>
    </row>
    <row r="91" spans="2:5">
      <c r="B91" s="3"/>
      <c r="C91" s="26">
        <f t="shared" si="3"/>
        <v>0</v>
      </c>
      <c r="D91" s="26" t="e">
        <f t="shared" si="4"/>
        <v>#DIV/0!</v>
      </c>
      <c r="E91" s="26" t="e">
        <f t="shared" si="5"/>
        <v>#DIV/0!</v>
      </c>
    </row>
    <row r="92" spans="2:5">
      <c r="B92" s="3"/>
      <c r="C92" s="26">
        <f t="shared" si="3"/>
        <v>0</v>
      </c>
      <c r="D92" s="26" t="e">
        <f t="shared" si="4"/>
        <v>#DIV/0!</v>
      </c>
      <c r="E92" s="26" t="e">
        <f t="shared" si="5"/>
        <v>#DIV/0!</v>
      </c>
    </row>
    <row r="93" spans="2:5">
      <c r="B93" s="3"/>
      <c r="C93" s="26">
        <f t="shared" si="3"/>
        <v>0</v>
      </c>
      <c r="D93" s="26" t="e">
        <f t="shared" si="4"/>
        <v>#DIV/0!</v>
      </c>
      <c r="E93" s="26" t="e">
        <f t="shared" si="5"/>
        <v>#DIV/0!</v>
      </c>
    </row>
    <row r="94" spans="2:5">
      <c r="B94" s="3"/>
      <c r="C94" s="26">
        <f t="shared" si="3"/>
        <v>0</v>
      </c>
      <c r="D94" s="26" t="e">
        <f t="shared" si="4"/>
        <v>#DIV/0!</v>
      </c>
      <c r="E94" s="26" t="e">
        <f t="shared" si="5"/>
        <v>#DIV/0!</v>
      </c>
    </row>
    <row r="95" spans="2:5">
      <c r="B95" s="3"/>
      <c r="C95" s="26">
        <f t="shared" si="3"/>
        <v>0</v>
      </c>
      <c r="D95" s="26" t="e">
        <f t="shared" si="4"/>
        <v>#DIV/0!</v>
      </c>
      <c r="E95" s="26" t="e">
        <f t="shared" si="5"/>
        <v>#DIV/0!</v>
      </c>
    </row>
    <row r="96" spans="2:5">
      <c r="B96" s="3"/>
      <c r="C96" s="26">
        <f t="shared" si="3"/>
        <v>0</v>
      </c>
      <c r="D96" s="26" t="e">
        <f t="shared" si="4"/>
        <v>#DIV/0!</v>
      </c>
      <c r="E96" s="26" t="e">
        <f t="shared" si="5"/>
        <v>#DIV/0!</v>
      </c>
    </row>
    <row r="97" spans="2:5">
      <c r="B97" s="3"/>
      <c r="C97" s="26">
        <f t="shared" si="3"/>
        <v>0</v>
      </c>
      <c r="D97" s="26" t="e">
        <f t="shared" si="4"/>
        <v>#DIV/0!</v>
      </c>
      <c r="E97" s="26" t="e">
        <f t="shared" si="5"/>
        <v>#DIV/0!</v>
      </c>
    </row>
    <row r="98" spans="2:5">
      <c r="B98" s="3"/>
      <c r="C98" s="26">
        <f t="shared" si="3"/>
        <v>0</v>
      </c>
      <c r="D98" s="26" t="e">
        <f t="shared" si="4"/>
        <v>#DIV/0!</v>
      </c>
      <c r="E98" s="26" t="e">
        <f t="shared" si="5"/>
        <v>#DIV/0!</v>
      </c>
    </row>
    <row r="99" spans="2:5">
      <c r="B99" s="3"/>
      <c r="C99" s="26">
        <f t="shared" si="3"/>
        <v>0</v>
      </c>
      <c r="D99" s="26" t="e">
        <f t="shared" si="4"/>
        <v>#DIV/0!</v>
      </c>
      <c r="E99" s="26" t="e">
        <f t="shared" si="5"/>
        <v>#DIV/0!</v>
      </c>
    </row>
    <row r="100" spans="2:5">
      <c r="B100" s="3"/>
      <c r="C100" s="26">
        <f t="shared" si="3"/>
        <v>0</v>
      </c>
      <c r="D100" s="26" t="e">
        <f t="shared" si="4"/>
        <v>#DIV/0!</v>
      </c>
      <c r="E100" s="26" t="e">
        <f t="shared" si="5"/>
        <v>#DIV/0!</v>
      </c>
    </row>
    <row r="101" spans="2:5">
      <c r="B101" s="3"/>
      <c r="C101" s="26">
        <f t="shared" si="3"/>
        <v>0</v>
      </c>
      <c r="D101" s="26" t="e">
        <f t="shared" si="4"/>
        <v>#DIV/0!</v>
      </c>
      <c r="E101" s="26" t="e">
        <f t="shared" si="5"/>
        <v>#DIV/0!</v>
      </c>
    </row>
    <row r="102" spans="2:5">
      <c r="B102" s="3"/>
      <c r="C102" s="26">
        <f t="shared" si="3"/>
        <v>0</v>
      </c>
      <c r="D102" s="26" t="e">
        <f t="shared" si="4"/>
        <v>#DIV/0!</v>
      </c>
      <c r="E102" s="26" t="e">
        <f t="shared" si="5"/>
        <v>#DIV/0!</v>
      </c>
    </row>
    <row r="103" spans="2:5">
      <c r="B103" s="3"/>
      <c r="C103" s="26">
        <f t="shared" si="3"/>
        <v>0</v>
      </c>
      <c r="D103" s="26" t="e">
        <f t="shared" si="4"/>
        <v>#DIV/0!</v>
      </c>
      <c r="E103" s="26" t="e">
        <f t="shared" si="5"/>
        <v>#DIV/0!</v>
      </c>
    </row>
    <row r="104" spans="2:5">
      <c r="B104" s="3"/>
      <c r="C104" s="26">
        <f t="shared" si="3"/>
        <v>0</v>
      </c>
      <c r="D104" s="26" t="e">
        <f t="shared" si="4"/>
        <v>#DIV/0!</v>
      </c>
      <c r="E104" s="26" t="e">
        <f t="shared" si="5"/>
        <v>#DIV/0!</v>
      </c>
    </row>
    <row r="105" spans="2:5">
      <c r="B105" s="3"/>
      <c r="C105" s="26">
        <f t="shared" si="3"/>
        <v>0</v>
      </c>
      <c r="D105" s="26" t="e">
        <f t="shared" si="4"/>
        <v>#DIV/0!</v>
      </c>
      <c r="E105" s="26" t="e">
        <f t="shared" si="5"/>
        <v>#DIV/0!</v>
      </c>
    </row>
    <row r="106" spans="2:5">
      <c r="B106" s="3"/>
      <c r="C106" s="26">
        <f t="shared" si="3"/>
        <v>0</v>
      </c>
      <c r="D106" s="26" t="e">
        <f t="shared" si="4"/>
        <v>#DIV/0!</v>
      </c>
      <c r="E106" s="26" t="e">
        <f t="shared" si="5"/>
        <v>#DIV/0!</v>
      </c>
    </row>
    <row r="107" spans="2:5">
      <c r="B107" s="3"/>
      <c r="C107" s="26">
        <f t="shared" si="3"/>
        <v>0</v>
      </c>
      <c r="D107" s="26" t="e">
        <f t="shared" si="4"/>
        <v>#DIV/0!</v>
      </c>
      <c r="E107" s="26" t="e">
        <f t="shared" si="5"/>
        <v>#DIV/0!</v>
      </c>
    </row>
    <row r="108" spans="2:5">
      <c r="B108" s="3"/>
      <c r="C108" s="26">
        <f t="shared" si="3"/>
        <v>0</v>
      </c>
      <c r="D108" s="26" t="e">
        <f t="shared" si="4"/>
        <v>#DIV/0!</v>
      </c>
      <c r="E108" s="26" t="e">
        <f t="shared" si="5"/>
        <v>#DIV/0!</v>
      </c>
    </row>
    <row r="109" spans="2:5">
      <c r="B109" s="3"/>
      <c r="C109" s="26">
        <f t="shared" si="3"/>
        <v>0</v>
      </c>
      <c r="D109" s="26" t="e">
        <f t="shared" si="4"/>
        <v>#DIV/0!</v>
      </c>
      <c r="E109" s="26" t="e">
        <f t="shared" si="5"/>
        <v>#DIV/0!</v>
      </c>
    </row>
    <row r="110" spans="2:5">
      <c r="B110" s="3"/>
      <c r="C110" s="26">
        <f t="shared" si="3"/>
        <v>0</v>
      </c>
      <c r="D110" s="26" t="e">
        <f t="shared" si="4"/>
        <v>#DIV/0!</v>
      </c>
      <c r="E110" s="26" t="e">
        <f t="shared" si="5"/>
        <v>#DIV/0!</v>
      </c>
    </row>
    <row r="111" spans="2:5">
      <c r="B111" s="3"/>
      <c r="C111" s="26">
        <f t="shared" si="3"/>
        <v>0</v>
      </c>
      <c r="D111" s="26" t="e">
        <f t="shared" si="4"/>
        <v>#DIV/0!</v>
      </c>
      <c r="E111" s="26" t="e">
        <f t="shared" si="5"/>
        <v>#DIV/0!</v>
      </c>
    </row>
    <row r="112" spans="2:5">
      <c r="B112" s="3"/>
      <c r="C112" s="26">
        <f t="shared" si="3"/>
        <v>0</v>
      </c>
      <c r="D112" s="26" t="e">
        <f t="shared" si="4"/>
        <v>#DIV/0!</v>
      </c>
      <c r="E112" s="26" t="e">
        <f t="shared" si="5"/>
        <v>#DIV/0!</v>
      </c>
    </row>
    <row r="113" spans="2:5">
      <c r="B113" s="3"/>
      <c r="C113" s="26">
        <f t="shared" si="3"/>
        <v>0</v>
      </c>
      <c r="D113" s="26" t="e">
        <f t="shared" si="4"/>
        <v>#DIV/0!</v>
      </c>
      <c r="E113" s="26" t="e">
        <f t="shared" si="5"/>
        <v>#DIV/0!</v>
      </c>
    </row>
    <row r="114" spans="2:5">
      <c r="B114" s="3"/>
      <c r="C114" s="26">
        <f t="shared" si="3"/>
        <v>0</v>
      </c>
      <c r="D114" s="26" t="e">
        <f t="shared" si="4"/>
        <v>#DIV/0!</v>
      </c>
      <c r="E114" s="26" t="e">
        <f t="shared" si="5"/>
        <v>#DIV/0!</v>
      </c>
    </row>
    <row r="115" spans="2:5">
      <c r="B115" s="3"/>
      <c r="C115" s="26">
        <f t="shared" si="3"/>
        <v>0</v>
      </c>
      <c r="D115" s="26" t="e">
        <f t="shared" si="4"/>
        <v>#DIV/0!</v>
      </c>
      <c r="E115" s="26" t="e">
        <f t="shared" si="5"/>
        <v>#DIV/0!</v>
      </c>
    </row>
    <row r="116" spans="2:5">
      <c r="B116" s="3"/>
      <c r="C116" s="26">
        <f t="shared" si="3"/>
        <v>0</v>
      </c>
      <c r="D116" s="26" t="e">
        <f t="shared" si="4"/>
        <v>#DIV/0!</v>
      </c>
      <c r="E116" s="26" t="e">
        <f t="shared" si="5"/>
        <v>#DIV/0!</v>
      </c>
    </row>
    <row r="117" spans="2:5">
      <c r="B117" s="3"/>
      <c r="C117" s="26">
        <f t="shared" si="3"/>
        <v>0</v>
      </c>
      <c r="D117" s="26" t="e">
        <f t="shared" si="4"/>
        <v>#DIV/0!</v>
      </c>
      <c r="E117" s="26" t="e">
        <f t="shared" si="5"/>
        <v>#DIV/0!</v>
      </c>
    </row>
    <row r="118" spans="2:5">
      <c r="B118" s="3"/>
      <c r="C118" s="26">
        <f t="shared" si="3"/>
        <v>0</v>
      </c>
      <c r="D118" s="26" t="e">
        <f t="shared" si="4"/>
        <v>#DIV/0!</v>
      </c>
      <c r="E118" s="26" t="e">
        <f t="shared" si="5"/>
        <v>#DIV/0!</v>
      </c>
    </row>
    <row r="119" spans="2:5">
      <c r="B119" s="3"/>
      <c r="C119" s="26">
        <f t="shared" si="3"/>
        <v>0</v>
      </c>
      <c r="D119" s="26" t="e">
        <f t="shared" si="4"/>
        <v>#DIV/0!</v>
      </c>
      <c r="E119" s="26" t="e">
        <f t="shared" si="5"/>
        <v>#DIV/0!</v>
      </c>
    </row>
    <row r="120" spans="2:5">
      <c r="B120" s="3"/>
      <c r="C120" s="26">
        <f t="shared" si="3"/>
        <v>0</v>
      </c>
      <c r="D120" s="26" t="e">
        <f t="shared" si="4"/>
        <v>#DIV/0!</v>
      </c>
      <c r="E120" s="26" t="e">
        <f t="shared" si="5"/>
        <v>#DIV/0!</v>
      </c>
    </row>
    <row r="121" spans="2:5">
      <c r="B121" s="3"/>
      <c r="C121" s="26">
        <f t="shared" si="3"/>
        <v>0</v>
      </c>
      <c r="D121" s="26" t="e">
        <f t="shared" si="4"/>
        <v>#DIV/0!</v>
      </c>
      <c r="E121" s="26" t="e">
        <f t="shared" si="5"/>
        <v>#DIV/0!</v>
      </c>
    </row>
    <row r="122" spans="2:5">
      <c r="B122" s="3"/>
      <c r="C122" s="26">
        <f t="shared" si="3"/>
        <v>0</v>
      </c>
      <c r="D122" s="26" t="e">
        <f t="shared" si="4"/>
        <v>#DIV/0!</v>
      </c>
      <c r="E122" s="26" t="e">
        <f t="shared" si="5"/>
        <v>#DIV/0!</v>
      </c>
    </row>
    <row r="123" spans="2:5">
      <c r="B123" s="3"/>
      <c r="C123" s="26">
        <f t="shared" si="3"/>
        <v>0</v>
      </c>
      <c r="D123" s="26" t="e">
        <f t="shared" si="4"/>
        <v>#DIV/0!</v>
      </c>
      <c r="E123" s="26" t="e">
        <f t="shared" si="5"/>
        <v>#DIV/0!</v>
      </c>
    </row>
    <row r="124" spans="2:5">
      <c r="B124" s="3"/>
      <c r="C124" s="26">
        <f t="shared" si="3"/>
        <v>0</v>
      </c>
      <c r="D124" s="26" t="e">
        <f t="shared" si="4"/>
        <v>#DIV/0!</v>
      </c>
      <c r="E124" s="26" t="e">
        <f t="shared" si="5"/>
        <v>#DIV/0!</v>
      </c>
    </row>
    <row r="125" spans="2:5">
      <c r="B125" s="3"/>
      <c r="C125" s="26">
        <f t="shared" si="3"/>
        <v>0</v>
      </c>
      <c r="D125" s="26" t="e">
        <f t="shared" si="4"/>
        <v>#DIV/0!</v>
      </c>
      <c r="E125" s="26" t="e">
        <f t="shared" si="5"/>
        <v>#DIV/0!</v>
      </c>
    </row>
    <row r="126" spans="2:5">
      <c r="B126" s="3"/>
      <c r="C126" s="26">
        <f t="shared" si="3"/>
        <v>0</v>
      </c>
      <c r="D126" s="26" t="e">
        <f t="shared" si="4"/>
        <v>#DIV/0!</v>
      </c>
      <c r="E126" s="26" t="e">
        <f t="shared" si="5"/>
        <v>#DIV/0!</v>
      </c>
    </row>
    <row r="127" spans="2:5">
      <c r="B127" s="3"/>
      <c r="C127" s="26">
        <f t="shared" si="3"/>
        <v>0</v>
      </c>
      <c r="D127" s="26" t="e">
        <f t="shared" si="4"/>
        <v>#DIV/0!</v>
      </c>
      <c r="E127" s="26" t="e">
        <f t="shared" si="5"/>
        <v>#DIV/0!</v>
      </c>
    </row>
    <row r="128" spans="2:5">
      <c r="B128" s="3"/>
      <c r="C128" s="26">
        <f t="shared" si="3"/>
        <v>0</v>
      </c>
      <c r="D128" s="26" t="e">
        <f t="shared" si="4"/>
        <v>#DIV/0!</v>
      </c>
      <c r="E128" s="26" t="e">
        <f t="shared" si="5"/>
        <v>#DIV/0!</v>
      </c>
    </row>
    <row r="129" spans="2:5">
      <c r="B129" s="3"/>
      <c r="C129" s="26">
        <f t="shared" si="3"/>
        <v>0</v>
      </c>
      <c r="D129" s="26" t="e">
        <f t="shared" si="4"/>
        <v>#DIV/0!</v>
      </c>
      <c r="E129" s="26" t="e">
        <f t="shared" si="5"/>
        <v>#DIV/0!</v>
      </c>
    </row>
    <row r="130" spans="2:5">
      <c r="B130" s="3"/>
      <c r="C130" s="26">
        <f t="shared" si="3"/>
        <v>0</v>
      </c>
      <c r="D130" s="26" t="e">
        <f t="shared" si="4"/>
        <v>#DIV/0!</v>
      </c>
      <c r="E130" s="26" t="e">
        <f t="shared" si="5"/>
        <v>#DIV/0!</v>
      </c>
    </row>
    <row r="131" spans="2:5">
      <c r="B131" s="3"/>
      <c r="C131" s="26">
        <f t="shared" si="3"/>
        <v>0</v>
      </c>
      <c r="D131" s="26" t="e">
        <f t="shared" si="4"/>
        <v>#DIV/0!</v>
      </c>
      <c r="E131" s="26" t="e">
        <f t="shared" si="5"/>
        <v>#DIV/0!</v>
      </c>
    </row>
    <row r="132" spans="2:5">
      <c r="B132" s="3"/>
      <c r="C132" s="26">
        <f t="shared" si="3"/>
        <v>0</v>
      </c>
      <c r="D132" s="26" t="e">
        <f t="shared" si="4"/>
        <v>#DIV/0!</v>
      </c>
      <c r="E132" s="26" t="e">
        <f t="shared" si="5"/>
        <v>#DIV/0!</v>
      </c>
    </row>
    <row r="133" spans="2:5">
      <c r="B133" s="3"/>
      <c r="C133" s="26">
        <f t="shared" si="3"/>
        <v>0</v>
      </c>
      <c r="D133" s="26" t="e">
        <f t="shared" si="4"/>
        <v>#DIV/0!</v>
      </c>
      <c r="E133" s="26" t="e">
        <f t="shared" si="5"/>
        <v>#DIV/0!</v>
      </c>
    </row>
    <row r="134" spans="2:5">
      <c r="B134" s="3"/>
      <c r="C134" s="26">
        <f t="shared" si="3"/>
        <v>0</v>
      </c>
      <c r="D134" s="26" t="e">
        <f t="shared" si="4"/>
        <v>#DIV/0!</v>
      </c>
      <c r="E134" s="26" t="e">
        <f t="shared" si="5"/>
        <v>#DIV/0!</v>
      </c>
    </row>
    <row r="135" spans="2:5">
      <c r="B135" s="3"/>
      <c r="C135" s="26">
        <f t="shared" si="3"/>
        <v>0</v>
      </c>
      <c r="D135" s="26" t="e">
        <f t="shared" si="4"/>
        <v>#DIV/0!</v>
      </c>
      <c r="E135" s="26" t="e">
        <f t="shared" si="5"/>
        <v>#DIV/0!</v>
      </c>
    </row>
    <row r="136" spans="2:5">
      <c r="B136" s="3"/>
      <c r="C136" s="26">
        <f t="shared" si="3"/>
        <v>0</v>
      </c>
      <c r="D136" s="26" t="e">
        <f t="shared" si="4"/>
        <v>#DIV/0!</v>
      </c>
      <c r="E136" s="26" t="e">
        <f t="shared" si="5"/>
        <v>#DIV/0!</v>
      </c>
    </row>
    <row r="137" spans="2:5">
      <c r="B137" s="3"/>
      <c r="C137" s="26">
        <f t="shared" si="3"/>
        <v>0</v>
      </c>
      <c r="D137" s="26" t="e">
        <f t="shared" si="4"/>
        <v>#DIV/0!</v>
      </c>
      <c r="E137" s="26" t="e">
        <f t="shared" si="5"/>
        <v>#DIV/0!</v>
      </c>
    </row>
    <row r="138" spans="2:5">
      <c r="B138" s="3"/>
      <c r="C138" s="26">
        <f t="shared" si="3"/>
        <v>0</v>
      </c>
      <c r="D138" s="26" t="e">
        <f t="shared" si="4"/>
        <v>#DIV/0!</v>
      </c>
      <c r="E138" s="26" t="e">
        <f t="shared" si="5"/>
        <v>#DIV/0!</v>
      </c>
    </row>
    <row r="139" spans="2:5">
      <c r="B139" s="3"/>
      <c r="C139" s="26">
        <f t="shared" si="3"/>
        <v>0</v>
      </c>
      <c r="D139" s="26" t="e">
        <f t="shared" si="4"/>
        <v>#DIV/0!</v>
      </c>
      <c r="E139" s="26" t="e">
        <f t="shared" si="5"/>
        <v>#DIV/0!</v>
      </c>
    </row>
    <row r="140" spans="2:5">
      <c r="B140" s="3"/>
      <c r="C140" s="26">
        <f t="shared" si="3"/>
        <v>0</v>
      </c>
      <c r="D140" s="26" t="e">
        <f t="shared" si="4"/>
        <v>#DIV/0!</v>
      </c>
      <c r="E140" s="26" t="e">
        <f t="shared" si="5"/>
        <v>#DIV/0!</v>
      </c>
    </row>
    <row r="141" spans="2:5">
      <c r="B141" s="3"/>
      <c r="C141" s="26">
        <f t="shared" si="3"/>
        <v>0</v>
      </c>
      <c r="D141" s="26" t="e">
        <f t="shared" si="4"/>
        <v>#DIV/0!</v>
      </c>
      <c r="E141" s="26" t="e">
        <f t="shared" si="5"/>
        <v>#DIV/0!</v>
      </c>
    </row>
    <row r="142" spans="2:5">
      <c r="B142" s="3"/>
      <c r="C142" s="26">
        <f t="shared" si="3"/>
        <v>0</v>
      </c>
      <c r="D142" s="26" t="e">
        <f t="shared" si="4"/>
        <v>#DIV/0!</v>
      </c>
      <c r="E142" s="26" t="e">
        <f t="shared" si="5"/>
        <v>#DIV/0!</v>
      </c>
    </row>
    <row r="143" spans="2:5">
      <c r="B143" s="3"/>
      <c r="C143" s="26">
        <f t="shared" si="3"/>
        <v>0</v>
      </c>
      <c r="D143" s="26" t="e">
        <f t="shared" si="4"/>
        <v>#DIV/0!</v>
      </c>
      <c r="E143" s="26" t="e">
        <f t="shared" si="5"/>
        <v>#DIV/0!</v>
      </c>
    </row>
    <row r="144" spans="2:5">
      <c r="B144" s="3"/>
      <c r="C144" s="26">
        <f t="shared" si="3"/>
        <v>0</v>
      </c>
      <c r="D144" s="26" t="e">
        <f t="shared" si="4"/>
        <v>#DIV/0!</v>
      </c>
      <c r="E144" s="26" t="e">
        <f t="shared" si="5"/>
        <v>#DIV/0!</v>
      </c>
    </row>
    <row r="145" spans="2:5">
      <c r="B145" s="3"/>
      <c r="C145" s="26">
        <f t="shared" si="3"/>
        <v>0</v>
      </c>
      <c r="D145" s="26" t="e">
        <f t="shared" si="4"/>
        <v>#DIV/0!</v>
      </c>
      <c r="E145" s="26" t="e">
        <f t="shared" si="5"/>
        <v>#DIV/0!</v>
      </c>
    </row>
    <row r="146" spans="2:5">
      <c r="B146" s="3"/>
      <c r="C146" s="26">
        <f t="shared" si="3"/>
        <v>0</v>
      </c>
      <c r="D146" s="26" t="e">
        <f t="shared" si="4"/>
        <v>#DIV/0!</v>
      </c>
      <c r="E146" s="26" t="e">
        <f t="shared" si="5"/>
        <v>#DIV/0!</v>
      </c>
    </row>
    <row r="147" spans="2:5">
      <c r="B147" s="3"/>
      <c r="C147" s="26">
        <f t="shared" ref="C147:C210" si="6">B147/$F$7</f>
        <v>0</v>
      </c>
      <c r="D147" s="26" t="e">
        <f t="shared" ref="D147:D210" si="7">$I$10*C147/SQRT(1/$I$8^2+(C147-1/C147)^2)</f>
        <v>#DIV/0!</v>
      </c>
      <c r="E147" s="26" t="e">
        <f t="shared" ref="E147:E210" si="8">20*LOG10(D147/(2/100000))</f>
        <v>#DIV/0!</v>
      </c>
    </row>
    <row r="148" spans="2:5">
      <c r="B148" s="3"/>
      <c r="C148" s="26">
        <f t="shared" si="6"/>
        <v>0</v>
      </c>
      <c r="D148" s="26" t="e">
        <f t="shared" si="7"/>
        <v>#DIV/0!</v>
      </c>
      <c r="E148" s="26" t="e">
        <f t="shared" si="8"/>
        <v>#DIV/0!</v>
      </c>
    </row>
    <row r="149" spans="2:5">
      <c r="B149" s="3"/>
      <c r="C149" s="26">
        <f t="shared" si="6"/>
        <v>0</v>
      </c>
      <c r="D149" s="26" t="e">
        <f t="shared" si="7"/>
        <v>#DIV/0!</v>
      </c>
      <c r="E149" s="26" t="e">
        <f t="shared" si="8"/>
        <v>#DIV/0!</v>
      </c>
    </row>
    <row r="150" spans="2:5">
      <c r="B150" s="3"/>
      <c r="C150" s="26">
        <f t="shared" si="6"/>
        <v>0</v>
      </c>
      <c r="D150" s="26" t="e">
        <f t="shared" si="7"/>
        <v>#DIV/0!</v>
      </c>
      <c r="E150" s="26" t="e">
        <f t="shared" si="8"/>
        <v>#DIV/0!</v>
      </c>
    </row>
    <row r="151" spans="2:5">
      <c r="B151" s="3"/>
      <c r="C151" s="26">
        <f t="shared" si="6"/>
        <v>0</v>
      </c>
      <c r="D151" s="26" t="e">
        <f t="shared" si="7"/>
        <v>#DIV/0!</v>
      </c>
      <c r="E151" s="26" t="e">
        <f t="shared" si="8"/>
        <v>#DIV/0!</v>
      </c>
    </row>
    <row r="152" spans="2:5">
      <c r="B152" s="3"/>
      <c r="C152" s="26">
        <f t="shared" si="6"/>
        <v>0</v>
      </c>
      <c r="D152" s="26" t="e">
        <f t="shared" si="7"/>
        <v>#DIV/0!</v>
      </c>
      <c r="E152" s="26" t="e">
        <f t="shared" si="8"/>
        <v>#DIV/0!</v>
      </c>
    </row>
    <row r="153" spans="2:5">
      <c r="B153" s="3"/>
      <c r="C153" s="26">
        <f t="shared" si="6"/>
        <v>0</v>
      </c>
      <c r="D153" s="26" t="e">
        <f t="shared" si="7"/>
        <v>#DIV/0!</v>
      </c>
      <c r="E153" s="26" t="e">
        <f t="shared" si="8"/>
        <v>#DIV/0!</v>
      </c>
    </row>
    <row r="154" spans="2:5">
      <c r="B154" s="3"/>
      <c r="C154" s="26">
        <f t="shared" si="6"/>
        <v>0</v>
      </c>
      <c r="D154" s="26" t="e">
        <f t="shared" si="7"/>
        <v>#DIV/0!</v>
      </c>
      <c r="E154" s="26" t="e">
        <f t="shared" si="8"/>
        <v>#DIV/0!</v>
      </c>
    </row>
    <row r="155" spans="2:5">
      <c r="B155" s="3"/>
      <c r="C155" s="26">
        <f t="shared" si="6"/>
        <v>0</v>
      </c>
      <c r="D155" s="26" t="e">
        <f t="shared" si="7"/>
        <v>#DIV/0!</v>
      </c>
      <c r="E155" s="26" t="e">
        <f t="shared" si="8"/>
        <v>#DIV/0!</v>
      </c>
    </row>
    <row r="156" spans="2:5">
      <c r="B156" s="3"/>
      <c r="C156" s="26">
        <f t="shared" si="6"/>
        <v>0</v>
      </c>
      <c r="D156" s="26" t="e">
        <f t="shared" si="7"/>
        <v>#DIV/0!</v>
      </c>
      <c r="E156" s="26" t="e">
        <f t="shared" si="8"/>
        <v>#DIV/0!</v>
      </c>
    </row>
    <row r="157" spans="2:5">
      <c r="B157" s="3"/>
      <c r="C157" s="26">
        <f t="shared" si="6"/>
        <v>0</v>
      </c>
      <c r="D157" s="26" t="e">
        <f t="shared" si="7"/>
        <v>#DIV/0!</v>
      </c>
      <c r="E157" s="26" t="e">
        <f t="shared" si="8"/>
        <v>#DIV/0!</v>
      </c>
    </row>
    <row r="158" spans="2:5">
      <c r="B158" s="3"/>
      <c r="C158" s="26">
        <f t="shared" si="6"/>
        <v>0</v>
      </c>
      <c r="D158" s="26" t="e">
        <f t="shared" si="7"/>
        <v>#DIV/0!</v>
      </c>
      <c r="E158" s="26" t="e">
        <f t="shared" si="8"/>
        <v>#DIV/0!</v>
      </c>
    </row>
    <row r="159" spans="2:5">
      <c r="B159" s="3"/>
      <c r="C159" s="26">
        <f t="shared" si="6"/>
        <v>0</v>
      </c>
      <c r="D159" s="26" t="e">
        <f t="shared" si="7"/>
        <v>#DIV/0!</v>
      </c>
      <c r="E159" s="26" t="e">
        <f t="shared" si="8"/>
        <v>#DIV/0!</v>
      </c>
    </row>
    <row r="160" spans="2:5">
      <c r="B160" s="3"/>
      <c r="C160" s="26">
        <f t="shared" si="6"/>
        <v>0</v>
      </c>
      <c r="D160" s="26" t="e">
        <f t="shared" si="7"/>
        <v>#DIV/0!</v>
      </c>
      <c r="E160" s="26" t="e">
        <f t="shared" si="8"/>
        <v>#DIV/0!</v>
      </c>
    </row>
    <row r="161" spans="2:5">
      <c r="B161" s="3"/>
      <c r="C161" s="26">
        <f t="shared" si="6"/>
        <v>0</v>
      </c>
      <c r="D161" s="26" t="e">
        <f t="shared" si="7"/>
        <v>#DIV/0!</v>
      </c>
      <c r="E161" s="26" t="e">
        <f t="shared" si="8"/>
        <v>#DIV/0!</v>
      </c>
    </row>
    <row r="162" spans="2:5">
      <c r="B162" s="3"/>
      <c r="C162" s="26">
        <f t="shared" si="6"/>
        <v>0</v>
      </c>
      <c r="D162" s="26" t="e">
        <f t="shared" si="7"/>
        <v>#DIV/0!</v>
      </c>
      <c r="E162" s="26" t="e">
        <f t="shared" si="8"/>
        <v>#DIV/0!</v>
      </c>
    </row>
    <row r="163" spans="2:5">
      <c r="B163" s="3"/>
      <c r="C163" s="26">
        <f t="shared" si="6"/>
        <v>0</v>
      </c>
      <c r="D163" s="26" t="e">
        <f t="shared" si="7"/>
        <v>#DIV/0!</v>
      </c>
      <c r="E163" s="26" t="e">
        <f t="shared" si="8"/>
        <v>#DIV/0!</v>
      </c>
    </row>
    <row r="164" spans="2:5">
      <c r="B164" s="3"/>
      <c r="C164" s="26">
        <f t="shared" si="6"/>
        <v>0</v>
      </c>
      <c r="D164" s="26" t="e">
        <f t="shared" si="7"/>
        <v>#DIV/0!</v>
      </c>
      <c r="E164" s="26" t="e">
        <f t="shared" si="8"/>
        <v>#DIV/0!</v>
      </c>
    </row>
    <row r="165" spans="2:5">
      <c r="B165" s="3"/>
      <c r="C165" s="26">
        <f t="shared" si="6"/>
        <v>0</v>
      </c>
      <c r="D165" s="26" t="e">
        <f t="shared" si="7"/>
        <v>#DIV/0!</v>
      </c>
      <c r="E165" s="26" t="e">
        <f t="shared" si="8"/>
        <v>#DIV/0!</v>
      </c>
    </row>
    <row r="166" spans="2:5">
      <c r="B166" s="3"/>
      <c r="C166" s="26">
        <f t="shared" si="6"/>
        <v>0</v>
      </c>
      <c r="D166" s="26" t="e">
        <f t="shared" si="7"/>
        <v>#DIV/0!</v>
      </c>
      <c r="E166" s="26" t="e">
        <f t="shared" si="8"/>
        <v>#DIV/0!</v>
      </c>
    </row>
    <row r="167" spans="2:5">
      <c r="B167" s="3"/>
      <c r="C167" s="26">
        <f t="shared" si="6"/>
        <v>0</v>
      </c>
      <c r="D167" s="26" t="e">
        <f t="shared" si="7"/>
        <v>#DIV/0!</v>
      </c>
      <c r="E167" s="26" t="e">
        <f t="shared" si="8"/>
        <v>#DIV/0!</v>
      </c>
    </row>
    <row r="168" spans="2:5">
      <c r="B168" s="3"/>
      <c r="C168" s="26">
        <f t="shared" si="6"/>
        <v>0</v>
      </c>
      <c r="D168" s="26" t="e">
        <f t="shared" si="7"/>
        <v>#DIV/0!</v>
      </c>
      <c r="E168" s="26" t="e">
        <f t="shared" si="8"/>
        <v>#DIV/0!</v>
      </c>
    </row>
    <row r="169" spans="2:5">
      <c r="B169" s="3"/>
      <c r="C169" s="26">
        <f t="shared" si="6"/>
        <v>0</v>
      </c>
      <c r="D169" s="26" t="e">
        <f t="shared" si="7"/>
        <v>#DIV/0!</v>
      </c>
      <c r="E169" s="26" t="e">
        <f t="shared" si="8"/>
        <v>#DIV/0!</v>
      </c>
    </row>
    <row r="170" spans="2:5">
      <c r="B170" s="3"/>
      <c r="C170" s="26">
        <f t="shared" si="6"/>
        <v>0</v>
      </c>
      <c r="D170" s="26" t="e">
        <f t="shared" si="7"/>
        <v>#DIV/0!</v>
      </c>
      <c r="E170" s="26" t="e">
        <f t="shared" si="8"/>
        <v>#DIV/0!</v>
      </c>
    </row>
    <row r="171" spans="2:5">
      <c r="B171" s="3"/>
      <c r="C171" s="26">
        <f t="shared" si="6"/>
        <v>0</v>
      </c>
      <c r="D171" s="26" t="e">
        <f t="shared" si="7"/>
        <v>#DIV/0!</v>
      </c>
      <c r="E171" s="26" t="e">
        <f t="shared" si="8"/>
        <v>#DIV/0!</v>
      </c>
    </row>
    <row r="172" spans="2:5">
      <c r="B172" s="3"/>
      <c r="C172" s="26">
        <f t="shared" si="6"/>
        <v>0</v>
      </c>
      <c r="D172" s="26" t="e">
        <f t="shared" si="7"/>
        <v>#DIV/0!</v>
      </c>
      <c r="E172" s="26" t="e">
        <f t="shared" si="8"/>
        <v>#DIV/0!</v>
      </c>
    </row>
    <row r="173" spans="2:5">
      <c r="B173" s="3"/>
      <c r="C173" s="26">
        <f t="shared" si="6"/>
        <v>0</v>
      </c>
      <c r="D173" s="26" t="e">
        <f t="shared" si="7"/>
        <v>#DIV/0!</v>
      </c>
      <c r="E173" s="26" t="e">
        <f t="shared" si="8"/>
        <v>#DIV/0!</v>
      </c>
    </row>
    <row r="174" spans="2:5">
      <c r="B174" s="3"/>
      <c r="C174" s="26">
        <f t="shared" si="6"/>
        <v>0</v>
      </c>
      <c r="D174" s="26" t="e">
        <f t="shared" si="7"/>
        <v>#DIV/0!</v>
      </c>
      <c r="E174" s="26" t="e">
        <f t="shared" si="8"/>
        <v>#DIV/0!</v>
      </c>
    </row>
    <row r="175" spans="2:5">
      <c r="B175" s="3"/>
      <c r="C175" s="26">
        <f t="shared" si="6"/>
        <v>0</v>
      </c>
      <c r="D175" s="26" t="e">
        <f t="shared" si="7"/>
        <v>#DIV/0!</v>
      </c>
      <c r="E175" s="26" t="e">
        <f t="shared" si="8"/>
        <v>#DIV/0!</v>
      </c>
    </row>
    <row r="176" spans="2:5">
      <c r="B176" s="3"/>
      <c r="C176" s="26">
        <f t="shared" si="6"/>
        <v>0</v>
      </c>
      <c r="D176" s="26" t="e">
        <f t="shared" si="7"/>
        <v>#DIV/0!</v>
      </c>
      <c r="E176" s="26" t="e">
        <f t="shared" si="8"/>
        <v>#DIV/0!</v>
      </c>
    </row>
    <row r="177" spans="2:5">
      <c r="B177" s="3"/>
      <c r="C177" s="26">
        <f t="shared" si="6"/>
        <v>0</v>
      </c>
      <c r="D177" s="26" t="e">
        <f t="shared" si="7"/>
        <v>#DIV/0!</v>
      </c>
      <c r="E177" s="26" t="e">
        <f t="shared" si="8"/>
        <v>#DIV/0!</v>
      </c>
    </row>
    <row r="178" spans="2:5">
      <c r="B178" s="3"/>
      <c r="C178" s="26">
        <f t="shared" si="6"/>
        <v>0</v>
      </c>
      <c r="D178" s="26" t="e">
        <f t="shared" si="7"/>
        <v>#DIV/0!</v>
      </c>
      <c r="E178" s="26" t="e">
        <f t="shared" si="8"/>
        <v>#DIV/0!</v>
      </c>
    </row>
    <row r="179" spans="2:5">
      <c r="B179" s="3"/>
      <c r="C179" s="26">
        <f t="shared" si="6"/>
        <v>0</v>
      </c>
      <c r="D179" s="26" t="e">
        <f t="shared" si="7"/>
        <v>#DIV/0!</v>
      </c>
      <c r="E179" s="26" t="e">
        <f t="shared" si="8"/>
        <v>#DIV/0!</v>
      </c>
    </row>
    <row r="180" spans="2:5">
      <c r="B180" s="3"/>
      <c r="C180" s="26">
        <f t="shared" si="6"/>
        <v>0</v>
      </c>
      <c r="D180" s="26" t="e">
        <f t="shared" si="7"/>
        <v>#DIV/0!</v>
      </c>
      <c r="E180" s="26" t="e">
        <f t="shared" si="8"/>
        <v>#DIV/0!</v>
      </c>
    </row>
    <row r="181" spans="2:5">
      <c r="B181" s="3"/>
      <c r="C181" s="26">
        <f t="shared" si="6"/>
        <v>0</v>
      </c>
      <c r="D181" s="26" t="e">
        <f t="shared" si="7"/>
        <v>#DIV/0!</v>
      </c>
      <c r="E181" s="26" t="e">
        <f t="shared" si="8"/>
        <v>#DIV/0!</v>
      </c>
    </row>
    <row r="182" spans="2:5">
      <c r="B182" s="3"/>
      <c r="C182" s="26">
        <f t="shared" si="6"/>
        <v>0</v>
      </c>
      <c r="D182" s="26" t="e">
        <f t="shared" si="7"/>
        <v>#DIV/0!</v>
      </c>
      <c r="E182" s="26" t="e">
        <f t="shared" si="8"/>
        <v>#DIV/0!</v>
      </c>
    </row>
    <row r="183" spans="2:5">
      <c r="B183" s="3"/>
      <c r="C183" s="26">
        <f t="shared" si="6"/>
        <v>0</v>
      </c>
      <c r="D183" s="26" t="e">
        <f t="shared" si="7"/>
        <v>#DIV/0!</v>
      </c>
      <c r="E183" s="26" t="e">
        <f t="shared" si="8"/>
        <v>#DIV/0!</v>
      </c>
    </row>
    <row r="184" spans="2:5">
      <c r="B184" s="3"/>
      <c r="C184" s="26">
        <f t="shared" si="6"/>
        <v>0</v>
      </c>
      <c r="D184" s="26" t="e">
        <f t="shared" si="7"/>
        <v>#DIV/0!</v>
      </c>
      <c r="E184" s="26" t="e">
        <f t="shared" si="8"/>
        <v>#DIV/0!</v>
      </c>
    </row>
    <row r="185" spans="2:5">
      <c r="B185" s="3"/>
      <c r="C185" s="26">
        <f t="shared" si="6"/>
        <v>0</v>
      </c>
      <c r="D185" s="26" t="e">
        <f t="shared" si="7"/>
        <v>#DIV/0!</v>
      </c>
      <c r="E185" s="26" t="e">
        <f t="shared" si="8"/>
        <v>#DIV/0!</v>
      </c>
    </row>
    <row r="186" spans="2:5">
      <c r="B186" s="3"/>
      <c r="C186" s="26">
        <f t="shared" si="6"/>
        <v>0</v>
      </c>
      <c r="D186" s="26" t="e">
        <f t="shared" si="7"/>
        <v>#DIV/0!</v>
      </c>
      <c r="E186" s="26" t="e">
        <f t="shared" si="8"/>
        <v>#DIV/0!</v>
      </c>
    </row>
    <row r="187" spans="2:5">
      <c r="B187" s="3"/>
      <c r="C187" s="26">
        <f t="shared" si="6"/>
        <v>0</v>
      </c>
      <c r="D187" s="26" t="e">
        <f t="shared" si="7"/>
        <v>#DIV/0!</v>
      </c>
      <c r="E187" s="26" t="e">
        <f t="shared" si="8"/>
        <v>#DIV/0!</v>
      </c>
    </row>
    <row r="188" spans="2:5">
      <c r="B188" s="3"/>
      <c r="C188" s="26">
        <f t="shared" si="6"/>
        <v>0</v>
      </c>
      <c r="D188" s="26" t="e">
        <f t="shared" si="7"/>
        <v>#DIV/0!</v>
      </c>
      <c r="E188" s="26" t="e">
        <f t="shared" si="8"/>
        <v>#DIV/0!</v>
      </c>
    </row>
    <row r="189" spans="2:5">
      <c r="B189" s="3"/>
      <c r="C189" s="26">
        <f t="shared" si="6"/>
        <v>0</v>
      </c>
      <c r="D189" s="26" t="e">
        <f t="shared" si="7"/>
        <v>#DIV/0!</v>
      </c>
      <c r="E189" s="26" t="e">
        <f t="shared" si="8"/>
        <v>#DIV/0!</v>
      </c>
    </row>
    <row r="190" spans="2:5">
      <c r="B190" s="3"/>
      <c r="C190" s="26">
        <f t="shared" si="6"/>
        <v>0</v>
      </c>
      <c r="D190" s="26" t="e">
        <f t="shared" si="7"/>
        <v>#DIV/0!</v>
      </c>
      <c r="E190" s="26" t="e">
        <f t="shared" si="8"/>
        <v>#DIV/0!</v>
      </c>
    </row>
    <row r="191" spans="2:5">
      <c r="B191" s="3"/>
      <c r="C191" s="26">
        <f t="shared" si="6"/>
        <v>0</v>
      </c>
      <c r="D191" s="26" t="e">
        <f t="shared" si="7"/>
        <v>#DIV/0!</v>
      </c>
      <c r="E191" s="26" t="e">
        <f t="shared" si="8"/>
        <v>#DIV/0!</v>
      </c>
    </row>
    <row r="192" spans="2:5">
      <c r="B192" s="3"/>
      <c r="C192" s="26">
        <f t="shared" si="6"/>
        <v>0</v>
      </c>
      <c r="D192" s="26" t="e">
        <f t="shared" si="7"/>
        <v>#DIV/0!</v>
      </c>
      <c r="E192" s="26" t="e">
        <f t="shared" si="8"/>
        <v>#DIV/0!</v>
      </c>
    </row>
    <row r="193" spans="2:5">
      <c r="B193" s="3"/>
      <c r="C193" s="26">
        <f t="shared" si="6"/>
        <v>0</v>
      </c>
      <c r="D193" s="26" t="e">
        <f t="shared" si="7"/>
        <v>#DIV/0!</v>
      </c>
      <c r="E193" s="26" t="e">
        <f t="shared" si="8"/>
        <v>#DIV/0!</v>
      </c>
    </row>
    <row r="194" spans="2:5">
      <c r="B194" s="3"/>
      <c r="C194" s="26">
        <f t="shared" si="6"/>
        <v>0</v>
      </c>
      <c r="D194" s="26" t="e">
        <f t="shared" si="7"/>
        <v>#DIV/0!</v>
      </c>
      <c r="E194" s="26" t="e">
        <f t="shared" si="8"/>
        <v>#DIV/0!</v>
      </c>
    </row>
    <row r="195" spans="2:5">
      <c r="B195" s="3"/>
      <c r="C195" s="26">
        <f t="shared" si="6"/>
        <v>0</v>
      </c>
      <c r="D195" s="26" t="e">
        <f t="shared" si="7"/>
        <v>#DIV/0!</v>
      </c>
      <c r="E195" s="26" t="e">
        <f t="shared" si="8"/>
        <v>#DIV/0!</v>
      </c>
    </row>
    <row r="196" spans="2:5">
      <c r="B196" s="3"/>
      <c r="C196" s="26">
        <f t="shared" si="6"/>
        <v>0</v>
      </c>
      <c r="D196" s="26" t="e">
        <f t="shared" si="7"/>
        <v>#DIV/0!</v>
      </c>
      <c r="E196" s="26" t="e">
        <f t="shared" si="8"/>
        <v>#DIV/0!</v>
      </c>
    </row>
    <row r="197" spans="2:5">
      <c r="B197" s="3"/>
      <c r="C197" s="26">
        <f t="shared" si="6"/>
        <v>0</v>
      </c>
      <c r="D197" s="26" t="e">
        <f t="shared" si="7"/>
        <v>#DIV/0!</v>
      </c>
      <c r="E197" s="26" t="e">
        <f t="shared" si="8"/>
        <v>#DIV/0!</v>
      </c>
    </row>
    <row r="198" spans="2:5">
      <c r="B198" s="3"/>
      <c r="C198" s="26">
        <f t="shared" si="6"/>
        <v>0</v>
      </c>
      <c r="D198" s="26" t="e">
        <f t="shared" si="7"/>
        <v>#DIV/0!</v>
      </c>
      <c r="E198" s="26" t="e">
        <f t="shared" si="8"/>
        <v>#DIV/0!</v>
      </c>
    </row>
    <row r="199" spans="2:5">
      <c r="B199" s="3"/>
      <c r="C199" s="26">
        <f t="shared" si="6"/>
        <v>0</v>
      </c>
      <c r="D199" s="26" t="e">
        <f t="shared" si="7"/>
        <v>#DIV/0!</v>
      </c>
      <c r="E199" s="26" t="e">
        <f t="shared" si="8"/>
        <v>#DIV/0!</v>
      </c>
    </row>
    <row r="200" spans="2:5">
      <c r="B200" s="3"/>
      <c r="C200" s="26">
        <f t="shared" si="6"/>
        <v>0</v>
      </c>
      <c r="D200" s="26" t="e">
        <f t="shared" si="7"/>
        <v>#DIV/0!</v>
      </c>
      <c r="E200" s="26" t="e">
        <f t="shared" si="8"/>
        <v>#DIV/0!</v>
      </c>
    </row>
    <row r="201" spans="2:5">
      <c r="B201" s="3"/>
      <c r="C201" s="26">
        <f t="shared" si="6"/>
        <v>0</v>
      </c>
      <c r="D201" s="26" t="e">
        <f t="shared" si="7"/>
        <v>#DIV/0!</v>
      </c>
      <c r="E201" s="26" t="e">
        <f t="shared" si="8"/>
        <v>#DIV/0!</v>
      </c>
    </row>
    <row r="202" spans="2:5">
      <c r="B202" s="3"/>
      <c r="C202" s="26">
        <f t="shared" si="6"/>
        <v>0</v>
      </c>
      <c r="D202" s="26" t="e">
        <f t="shared" si="7"/>
        <v>#DIV/0!</v>
      </c>
      <c r="E202" s="26" t="e">
        <f t="shared" si="8"/>
        <v>#DIV/0!</v>
      </c>
    </row>
    <row r="203" spans="2:5">
      <c r="B203" s="3"/>
      <c r="C203" s="26">
        <f t="shared" si="6"/>
        <v>0</v>
      </c>
      <c r="D203" s="26" t="e">
        <f t="shared" si="7"/>
        <v>#DIV/0!</v>
      </c>
      <c r="E203" s="26" t="e">
        <f t="shared" si="8"/>
        <v>#DIV/0!</v>
      </c>
    </row>
    <row r="204" spans="2:5">
      <c r="B204" s="3"/>
      <c r="C204" s="26">
        <f t="shared" si="6"/>
        <v>0</v>
      </c>
      <c r="D204" s="26" t="e">
        <f t="shared" si="7"/>
        <v>#DIV/0!</v>
      </c>
      <c r="E204" s="26" t="e">
        <f t="shared" si="8"/>
        <v>#DIV/0!</v>
      </c>
    </row>
    <row r="205" spans="2:5">
      <c r="B205" s="3"/>
      <c r="C205" s="26">
        <f t="shared" si="6"/>
        <v>0</v>
      </c>
      <c r="D205" s="26" t="e">
        <f t="shared" si="7"/>
        <v>#DIV/0!</v>
      </c>
      <c r="E205" s="26" t="e">
        <f t="shared" si="8"/>
        <v>#DIV/0!</v>
      </c>
    </row>
    <row r="206" spans="2:5">
      <c r="B206" s="3"/>
      <c r="C206" s="26">
        <f t="shared" si="6"/>
        <v>0</v>
      </c>
      <c r="D206" s="26" t="e">
        <f t="shared" si="7"/>
        <v>#DIV/0!</v>
      </c>
      <c r="E206" s="26" t="e">
        <f t="shared" si="8"/>
        <v>#DIV/0!</v>
      </c>
    </row>
    <row r="207" spans="2:5">
      <c r="B207" s="3"/>
      <c r="C207" s="26">
        <f t="shared" si="6"/>
        <v>0</v>
      </c>
      <c r="D207" s="26" t="e">
        <f t="shared" si="7"/>
        <v>#DIV/0!</v>
      </c>
      <c r="E207" s="26" t="e">
        <f t="shared" si="8"/>
        <v>#DIV/0!</v>
      </c>
    </row>
    <row r="208" spans="2:5">
      <c r="B208" s="3"/>
      <c r="C208" s="26">
        <f t="shared" si="6"/>
        <v>0</v>
      </c>
      <c r="D208" s="26" t="e">
        <f t="shared" si="7"/>
        <v>#DIV/0!</v>
      </c>
      <c r="E208" s="26" t="e">
        <f t="shared" si="8"/>
        <v>#DIV/0!</v>
      </c>
    </row>
    <row r="209" spans="2:5">
      <c r="B209" s="3"/>
      <c r="C209" s="26">
        <f t="shared" si="6"/>
        <v>0</v>
      </c>
      <c r="D209" s="26" t="e">
        <f t="shared" si="7"/>
        <v>#DIV/0!</v>
      </c>
      <c r="E209" s="26" t="e">
        <f t="shared" si="8"/>
        <v>#DIV/0!</v>
      </c>
    </row>
    <row r="210" spans="2:5">
      <c r="B210" s="3"/>
      <c r="C210" s="26">
        <f t="shared" si="6"/>
        <v>0</v>
      </c>
      <c r="D210" s="26" t="e">
        <f t="shared" si="7"/>
        <v>#DIV/0!</v>
      </c>
      <c r="E210" s="26" t="e">
        <f t="shared" si="8"/>
        <v>#DIV/0!</v>
      </c>
    </row>
    <row r="211" spans="2:5">
      <c r="B211" s="3"/>
      <c r="C211" s="26">
        <f t="shared" ref="C211:C274" si="9">B211/$F$7</f>
        <v>0</v>
      </c>
      <c r="D211" s="26" t="e">
        <f t="shared" ref="D211:D274" si="10">$I$10*C211/SQRT(1/$I$8^2+(C211-1/C211)^2)</f>
        <v>#DIV/0!</v>
      </c>
      <c r="E211" s="26" t="e">
        <f t="shared" ref="E211:E274" si="11">20*LOG10(D211/(2/100000))</f>
        <v>#DIV/0!</v>
      </c>
    </row>
    <row r="212" spans="2:5">
      <c r="B212" s="3"/>
      <c r="C212" s="26">
        <f t="shared" si="9"/>
        <v>0</v>
      </c>
      <c r="D212" s="26" t="e">
        <f t="shared" si="10"/>
        <v>#DIV/0!</v>
      </c>
      <c r="E212" s="26" t="e">
        <f t="shared" si="11"/>
        <v>#DIV/0!</v>
      </c>
    </row>
    <row r="213" spans="2:5">
      <c r="B213" s="3"/>
      <c r="C213" s="26">
        <f t="shared" si="9"/>
        <v>0</v>
      </c>
      <c r="D213" s="26" t="e">
        <f t="shared" si="10"/>
        <v>#DIV/0!</v>
      </c>
      <c r="E213" s="26" t="e">
        <f t="shared" si="11"/>
        <v>#DIV/0!</v>
      </c>
    </row>
    <row r="214" spans="2:5">
      <c r="B214" s="3"/>
      <c r="C214" s="26">
        <f t="shared" si="9"/>
        <v>0</v>
      </c>
      <c r="D214" s="26" t="e">
        <f t="shared" si="10"/>
        <v>#DIV/0!</v>
      </c>
      <c r="E214" s="26" t="e">
        <f t="shared" si="11"/>
        <v>#DIV/0!</v>
      </c>
    </row>
    <row r="215" spans="2:5">
      <c r="B215" s="3"/>
      <c r="C215" s="26">
        <f t="shared" si="9"/>
        <v>0</v>
      </c>
      <c r="D215" s="26" t="e">
        <f t="shared" si="10"/>
        <v>#DIV/0!</v>
      </c>
      <c r="E215" s="26" t="e">
        <f t="shared" si="11"/>
        <v>#DIV/0!</v>
      </c>
    </row>
    <row r="216" spans="2:5">
      <c r="B216" s="3"/>
      <c r="C216" s="26">
        <f t="shared" si="9"/>
        <v>0</v>
      </c>
      <c r="D216" s="26" t="e">
        <f t="shared" si="10"/>
        <v>#DIV/0!</v>
      </c>
      <c r="E216" s="26" t="e">
        <f t="shared" si="11"/>
        <v>#DIV/0!</v>
      </c>
    </row>
    <row r="217" spans="2:5">
      <c r="B217" s="3"/>
      <c r="C217" s="26">
        <f t="shared" si="9"/>
        <v>0</v>
      </c>
      <c r="D217" s="26" t="e">
        <f t="shared" si="10"/>
        <v>#DIV/0!</v>
      </c>
      <c r="E217" s="26" t="e">
        <f t="shared" si="11"/>
        <v>#DIV/0!</v>
      </c>
    </row>
    <row r="218" spans="2:5">
      <c r="B218" s="3"/>
      <c r="C218" s="26">
        <f t="shared" si="9"/>
        <v>0</v>
      </c>
      <c r="D218" s="26" t="e">
        <f t="shared" si="10"/>
        <v>#DIV/0!</v>
      </c>
      <c r="E218" s="26" t="e">
        <f t="shared" si="11"/>
        <v>#DIV/0!</v>
      </c>
    </row>
    <row r="219" spans="2:5">
      <c r="B219" s="3"/>
      <c r="C219" s="26">
        <f t="shared" si="9"/>
        <v>0</v>
      </c>
      <c r="D219" s="26" t="e">
        <f t="shared" si="10"/>
        <v>#DIV/0!</v>
      </c>
      <c r="E219" s="26" t="e">
        <f t="shared" si="11"/>
        <v>#DIV/0!</v>
      </c>
    </row>
    <row r="220" spans="2:5">
      <c r="B220" s="3"/>
      <c r="C220" s="26">
        <f t="shared" si="9"/>
        <v>0</v>
      </c>
      <c r="D220" s="26" t="e">
        <f t="shared" si="10"/>
        <v>#DIV/0!</v>
      </c>
      <c r="E220" s="26" t="e">
        <f t="shared" si="11"/>
        <v>#DIV/0!</v>
      </c>
    </row>
    <row r="221" spans="2:5">
      <c r="B221" s="3"/>
      <c r="C221" s="26">
        <f t="shared" si="9"/>
        <v>0</v>
      </c>
      <c r="D221" s="26" t="e">
        <f t="shared" si="10"/>
        <v>#DIV/0!</v>
      </c>
      <c r="E221" s="26" t="e">
        <f t="shared" si="11"/>
        <v>#DIV/0!</v>
      </c>
    </row>
    <row r="222" spans="2:5">
      <c r="B222" s="3"/>
      <c r="C222" s="26">
        <f t="shared" si="9"/>
        <v>0</v>
      </c>
      <c r="D222" s="26" t="e">
        <f t="shared" si="10"/>
        <v>#DIV/0!</v>
      </c>
      <c r="E222" s="26" t="e">
        <f t="shared" si="11"/>
        <v>#DIV/0!</v>
      </c>
    </row>
    <row r="223" spans="2:5">
      <c r="B223" s="3"/>
      <c r="C223" s="26">
        <f t="shared" si="9"/>
        <v>0</v>
      </c>
      <c r="D223" s="26" t="e">
        <f t="shared" si="10"/>
        <v>#DIV/0!</v>
      </c>
      <c r="E223" s="26" t="e">
        <f t="shared" si="11"/>
        <v>#DIV/0!</v>
      </c>
    </row>
    <row r="224" spans="2:5">
      <c r="B224" s="3"/>
      <c r="C224" s="26">
        <f t="shared" si="9"/>
        <v>0</v>
      </c>
      <c r="D224" s="26" t="e">
        <f t="shared" si="10"/>
        <v>#DIV/0!</v>
      </c>
      <c r="E224" s="26" t="e">
        <f t="shared" si="11"/>
        <v>#DIV/0!</v>
      </c>
    </row>
    <row r="225" spans="2:5">
      <c r="B225" s="3"/>
      <c r="C225" s="26">
        <f t="shared" si="9"/>
        <v>0</v>
      </c>
      <c r="D225" s="26" t="e">
        <f t="shared" si="10"/>
        <v>#DIV/0!</v>
      </c>
      <c r="E225" s="26" t="e">
        <f t="shared" si="11"/>
        <v>#DIV/0!</v>
      </c>
    </row>
    <row r="226" spans="2:5">
      <c r="B226" s="3"/>
      <c r="C226" s="26">
        <f t="shared" si="9"/>
        <v>0</v>
      </c>
      <c r="D226" s="26" t="e">
        <f t="shared" si="10"/>
        <v>#DIV/0!</v>
      </c>
      <c r="E226" s="26" t="e">
        <f t="shared" si="11"/>
        <v>#DIV/0!</v>
      </c>
    </row>
    <row r="227" spans="2:5">
      <c r="B227" s="3"/>
      <c r="C227" s="26">
        <f t="shared" si="9"/>
        <v>0</v>
      </c>
      <c r="D227" s="26" t="e">
        <f t="shared" si="10"/>
        <v>#DIV/0!</v>
      </c>
      <c r="E227" s="26" t="e">
        <f t="shared" si="11"/>
        <v>#DIV/0!</v>
      </c>
    </row>
    <row r="228" spans="2:5">
      <c r="B228" s="3"/>
      <c r="C228" s="26">
        <f t="shared" si="9"/>
        <v>0</v>
      </c>
      <c r="D228" s="26" t="e">
        <f t="shared" si="10"/>
        <v>#DIV/0!</v>
      </c>
      <c r="E228" s="26" t="e">
        <f t="shared" si="11"/>
        <v>#DIV/0!</v>
      </c>
    </row>
    <row r="229" spans="2:5">
      <c r="B229" s="3"/>
      <c r="C229" s="26">
        <f t="shared" si="9"/>
        <v>0</v>
      </c>
      <c r="D229" s="26" t="e">
        <f t="shared" si="10"/>
        <v>#DIV/0!</v>
      </c>
      <c r="E229" s="26" t="e">
        <f t="shared" si="11"/>
        <v>#DIV/0!</v>
      </c>
    </row>
    <row r="230" spans="2:5">
      <c r="B230" s="3"/>
      <c r="C230" s="26">
        <f t="shared" si="9"/>
        <v>0</v>
      </c>
      <c r="D230" s="26" t="e">
        <f t="shared" si="10"/>
        <v>#DIV/0!</v>
      </c>
      <c r="E230" s="26" t="e">
        <f t="shared" si="11"/>
        <v>#DIV/0!</v>
      </c>
    </row>
    <row r="231" spans="2:5">
      <c r="B231" s="3"/>
      <c r="C231" s="26">
        <f t="shared" si="9"/>
        <v>0</v>
      </c>
      <c r="D231" s="26" t="e">
        <f t="shared" si="10"/>
        <v>#DIV/0!</v>
      </c>
      <c r="E231" s="26" t="e">
        <f t="shared" si="11"/>
        <v>#DIV/0!</v>
      </c>
    </row>
    <row r="232" spans="2:5">
      <c r="B232" s="3"/>
      <c r="C232" s="26">
        <f t="shared" si="9"/>
        <v>0</v>
      </c>
      <c r="D232" s="26" t="e">
        <f t="shared" si="10"/>
        <v>#DIV/0!</v>
      </c>
      <c r="E232" s="26" t="e">
        <f t="shared" si="11"/>
        <v>#DIV/0!</v>
      </c>
    </row>
    <row r="233" spans="2:5">
      <c r="B233" s="3"/>
      <c r="C233" s="26">
        <f t="shared" si="9"/>
        <v>0</v>
      </c>
      <c r="D233" s="26" t="e">
        <f t="shared" si="10"/>
        <v>#DIV/0!</v>
      </c>
      <c r="E233" s="26" t="e">
        <f t="shared" si="11"/>
        <v>#DIV/0!</v>
      </c>
    </row>
    <row r="234" spans="2:5">
      <c r="B234" s="3"/>
      <c r="C234" s="26">
        <f t="shared" si="9"/>
        <v>0</v>
      </c>
      <c r="D234" s="26" t="e">
        <f t="shared" si="10"/>
        <v>#DIV/0!</v>
      </c>
      <c r="E234" s="26" t="e">
        <f t="shared" si="11"/>
        <v>#DIV/0!</v>
      </c>
    </row>
    <row r="235" spans="2:5">
      <c r="B235" s="3"/>
      <c r="C235" s="26">
        <f t="shared" si="9"/>
        <v>0</v>
      </c>
      <c r="D235" s="26" t="e">
        <f t="shared" si="10"/>
        <v>#DIV/0!</v>
      </c>
      <c r="E235" s="26" t="e">
        <f t="shared" si="11"/>
        <v>#DIV/0!</v>
      </c>
    </row>
    <row r="236" spans="2:5">
      <c r="B236" s="3"/>
      <c r="C236" s="26">
        <f t="shared" si="9"/>
        <v>0</v>
      </c>
      <c r="D236" s="26" t="e">
        <f t="shared" si="10"/>
        <v>#DIV/0!</v>
      </c>
      <c r="E236" s="26" t="e">
        <f t="shared" si="11"/>
        <v>#DIV/0!</v>
      </c>
    </row>
    <row r="237" spans="2:5">
      <c r="B237" s="3"/>
      <c r="C237" s="26">
        <f t="shared" si="9"/>
        <v>0</v>
      </c>
      <c r="D237" s="26" t="e">
        <f t="shared" si="10"/>
        <v>#DIV/0!</v>
      </c>
      <c r="E237" s="26" t="e">
        <f t="shared" si="11"/>
        <v>#DIV/0!</v>
      </c>
    </row>
    <row r="238" spans="2:5">
      <c r="B238" s="3"/>
      <c r="C238" s="26">
        <f t="shared" si="9"/>
        <v>0</v>
      </c>
      <c r="D238" s="26" t="e">
        <f t="shared" si="10"/>
        <v>#DIV/0!</v>
      </c>
      <c r="E238" s="26" t="e">
        <f t="shared" si="11"/>
        <v>#DIV/0!</v>
      </c>
    </row>
    <row r="239" spans="2:5">
      <c r="B239" s="3"/>
      <c r="C239" s="26">
        <f t="shared" si="9"/>
        <v>0</v>
      </c>
      <c r="D239" s="26" t="e">
        <f t="shared" si="10"/>
        <v>#DIV/0!</v>
      </c>
      <c r="E239" s="26" t="e">
        <f t="shared" si="11"/>
        <v>#DIV/0!</v>
      </c>
    </row>
    <row r="240" spans="2:5">
      <c r="B240" s="3"/>
      <c r="C240" s="26">
        <f t="shared" si="9"/>
        <v>0</v>
      </c>
      <c r="D240" s="26" t="e">
        <f t="shared" si="10"/>
        <v>#DIV/0!</v>
      </c>
      <c r="E240" s="26" t="e">
        <f t="shared" si="11"/>
        <v>#DIV/0!</v>
      </c>
    </row>
    <row r="241" spans="2:5">
      <c r="B241" s="3"/>
      <c r="C241" s="26">
        <f t="shared" si="9"/>
        <v>0</v>
      </c>
      <c r="D241" s="26" t="e">
        <f t="shared" si="10"/>
        <v>#DIV/0!</v>
      </c>
      <c r="E241" s="26" t="e">
        <f t="shared" si="11"/>
        <v>#DIV/0!</v>
      </c>
    </row>
    <row r="242" spans="2:5">
      <c r="B242" s="3"/>
      <c r="C242" s="26">
        <f t="shared" si="9"/>
        <v>0</v>
      </c>
      <c r="D242" s="26" t="e">
        <f t="shared" si="10"/>
        <v>#DIV/0!</v>
      </c>
      <c r="E242" s="26" t="e">
        <f t="shared" si="11"/>
        <v>#DIV/0!</v>
      </c>
    </row>
    <row r="243" spans="2:5">
      <c r="B243" s="3"/>
      <c r="C243" s="26">
        <f t="shared" si="9"/>
        <v>0</v>
      </c>
      <c r="D243" s="26" t="e">
        <f t="shared" si="10"/>
        <v>#DIV/0!</v>
      </c>
      <c r="E243" s="26" t="e">
        <f t="shared" si="11"/>
        <v>#DIV/0!</v>
      </c>
    </row>
    <row r="244" spans="2:5">
      <c r="B244" s="3"/>
      <c r="C244" s="26">
        <f t="shared" si="9"/>
        <v>0</v>
      </c>
      <c r="D244" s="26" t="e">
        <f t="shared" si="10"/>
        <v>#DIV/0!</v>
      </c>
      <c r="E244" s="26" t="e">
        <f t="shared" si="11"/>
        <v>#DIV/0!</v>
      </c>
    </row>
    <row r="245" spans="2:5">
      <c r="B245" s="3"/>
      <c r="C245" s="26">
        <f t="shared" si="9"/>
        <v>0</v>
      </c>
      <c r="D245" s="26" t="e">
        <f t="shared" si="10"/>
        <v>#DIV/0!</v>
      </c>
      <c r="E245" s="26" t="e">
        <f t="shared" si="11"/>
        <v>#DIV/0!</v>
      </c>
    </row>
    <row r="246" spans="2:5">
      <c r="B246" s="3"/>
      <c r="C246" s="26">
        <f t="shared" si="9"/>
        <v>0</v>
      </c>
      <c r="D246" s="26" t="e">
        <f t="shared" si="10"/>
        <v>#DIV/0!</v>
      </c>
      <c r="E246" s="26" t="e">
        <f t="shared" si="11"/>
        <v>#DIV/0!</v>
      </c>
    </row>
    <row r="247" spans="2:5">
      <c r="B247" s="3"/>
      <c r="C247" s="26">
        <f t="shared" si="9"/>
        <v>0</v>
      </c>
      <c r="D247" s="26" t="e">
        <f t="shared" si="10"/>
        <v>#DIV/0!</v>
      </c>
      <c r="E247" s="26" t="e">
        <f t="shared" si="11"/>
        <v>#DIV/0!</v>
      </c>
    </row>
    <row r="248" spans="2:5">
      <c r="B248" s="3"/>
      <c r="C248" s="26">
        <f t="shared" si="9"/>
        <v>0</v>
      </c>
      <c r="D248" s="26" t="e">
        <f t="shared" si="10"/>
        <v>#DIV/0!</v>
      </c>
      <c r="E248" s="26" t="e">
        <f t="shared" si="11"/>
        <v>#DIV/0!</v>
      </c>
    </row>
    <row r="249" spans="2:5">
      <c r="B249" s="3"/>
      <c r="C249" s="26">
        <f t="shared" si="9"/>
        <v>0</v>
      </c>
      <c r="D249" s="26" t="e">
        <f t="shared" si="10"/>
        <v>#DIV/0!</v>
      </c>
      <c r="E249" s="26" t="e">
        <f t="shared" si="11"/>
        <v>#DIV/0!</v>
      </c>
    </row>
    <row r="250" spans="2:5">
      <c r="B250" s="3"/>
      <c r="C250" s="26">
        <f t="shared" si="9"/>
        <v>0</v>
      </c>
      <c r="D250" s="26" t="e">
        <f t="shared" si="10"/>
        <v>#DIV/0!</v>
      </c>
      <c r="E250" s="26" t="e">
        <f t="shared" si="11"/>
        <v>#DIV/0!</v>
      </c>
    </row>
    <row r="251" spans="2:5">
      <c r="B251" s="3"/>
      <c r="C251" s="26">
        <f t="shared" si="9"/>
        <v>0</v>
      </c>
      <c r="D251" s="26" t="e">
        <f t="shared" si="10"/>
        <v>#DIV/0!</v>
      </c>
      <c r="E251" s="26" t="e">
        <f t="shared" si="11"/>
        <v>#DIV/0!</v>
      </c>
    </row>
    <row r="252" spans="2:5">
      <c r="B252" s="3"/>
      <c r="C252" s="26">
        <f t="shared" si="9"/>
        <v>0</v>
      </c>
      <c r="D252" s="26" t="e">
        <f t="shared" si="10"/>
        <v>#DIV/0!</v>
      </c>
      <c r="E252" s="26" t="e">
        <f t="shared" si="11"/>
        <v>#DIV/0!</v>
      </c>
    </row>
    <row r="253" spans="2:5">
      <c r="B253" s="3"/>
      <c r="C253" s="26">
        <f t="shared" si="9"/>
        <v>0</v>
      </c>
      <c r="D253" s="26" t="e">
        <f t="shared" si="10"/>
        <v>#DIV/0!</v>
      </c>
      <c r="E253" s="26" t="e">
        <f t="shared" si="11"/>
        <v>#DIV/0!</v>
      </c>
    </row>
    <row r="254" spans="2:5">
      <c r="B254" s="3"/>
      <c r="C254" s="26">
        <f t="shared" si="9"/>
        <v>0</v>
      </c>
      <c r="D254" s="26" t="e">
        <f t="shared" si="10"/>
        <v>#DIV/0!</v>
      </c>
      <c r="E254" s="26" t="e">
        <f t="shared" si="11"/>
        <v>#DIV/0!</v>
      </c>
    </row>
    <row r="255" spans="2:5">
      <c r="B255" s="3"/>
      <c r="C255" s="26">
        <f t="shared" si="9"/>
        <v>0</v>
      </c>
      <c r="D255" s="26" t="e">
        <f t="shared" si="10"/>
        <v>#DIV/0!</v>
      </c>
      <c r="E255" s="26" t="e">
        <f t="shared" si="11"/>
        <v>#DIV/0!</v>
      </c>
    </row>
    <row r="256" spans="2:5">
      <c r="B256" s="3"/>
      <c r="C256" s="26">
        <f t="shared" si="9"/>
        <v>0</v>
      </c>
      <c r="D256" s="26" t="e">
        <f t="shared" si="10"/>
        <v>#DIV/0!</v>
      </c>
      <c r="E256" s="26" t="e">
        <f t="shared" si="11"/>
        <v>#DIV/0!</v>
      </c>
    </row>
    <row r="257" spans="2:5">
      <c r="B257" s="3"/>
      <c r="C257" s="26">
        <f t="shared" si="9"/>
        <v>0</v>
      </c>
      <c r="D257" s="26" t="e">
        <f t="shared" si="10"/>
        <v>#DIV/0!</v>
      </c>
      <c r="E257" s="26" t="e">
        <f t="shared" si="11"/>
        <v>#DIV/0!</v>
      </c>
    </row>
    <row r="258" spans="2:5">
      <c r="B258" s="3"/>
      <c r="C258" s="26">
        <f t="shared" si="9"/>
        <v>0</v>
      </c>
      <c r="D258" s="26" t="e">
        <f t="shared" si="10"/>
        <v>#DIV/0!</v>
      </c>
      <c r="E258" s="26" t="e">
        <f t="shared" si="11"/>
        <v>#DIV/0!</v>
      </c>
    </row>
    <row r="259" spans="2:5">
      <c r="B259" s="3"/>
      <c r="C259" s="26">
        <f t="shared" si="9"/>
        <v>0</v>
      </c>
      <c r="D259" s="26" t="e">
        <f t="shared" si="10"/>
        <v>#DIV/0!</v>
      </c>
      <c r="E259" s="26" t="e">
        <f t="shared" si="11"/>
        <v>#DIV/0!</v>
      </c>
    </row>
    <row r="260" spans="2:5">
      <c r="B260" s="3"/>
      <c r="C260" s="26">
        <f t="shared" si="9"/>
        <v>0</v>
      </c>
      <c r="D260" s="26" t="e">
        <f t="shared" si="10"/>
        <v>#DIV/0!</v>
      </c>
      <c r="E260" s="26" t="e">
        <f t="shared" si="11"/>
        <v>#DIV/0!</v>
      </c>
    </row>
    <row r="261" spans="2:5">
      <c r="B261" s="3"/>
      <c r="C261" s="26">
        <f t="shared" si="9"/>
        <v>0</v>
      </c>
      <c r="D261" s="26" t="e">
        <f t="shared" si="10"/>
        <v>#DIV/0!</v>
      </c>
      <c r="E261" s="26" t="e">
        <f t="shared" si="11"/>
        <v>#DIV/0!</v>
      </c>
    </row>
    <row r="262" spans="2:5">
      <c r="B262" s="3"/>
      <c r="C262" s="26">
        <f t="shared" si="9"/>
        <v>0</v>
      </c>
      <c r="D262" s="26" t="e">
        <f t="shared" si="10"/>
        <v>#DIV/0!</v>
      </c>
      <c r="E262" s="26" t="e">
        <f t="shared" si="11"/>
        <v>#DIV/0!</v>
      </c>
    </row>
    <row r="263" spans="2:5">
      <c r="B263" s="3"/>
      <c r="C263" s="26">
        <f t="shared" si="9"/>
        <v>0</v>
      </c>
      <c r="D263" s="26" t="e">
        <f t="shared" si="10"/>
        <v>#DIV/0!</v>
      </c>
      <c r="E263" s="26" t="e">
        <f t="shared" si="11"/>
        <v>#DIV/0!</v>
      </c>
    </row>
    <row r="264" spans="2:5">
      <c r="B264" s="3"/>
      <c r="C264" s="26">
        <f t="shared" si="9"/>
        <v>0</v>
      </c>
      <c r="D264" s="26" t="e">
        <f t="shared" si="10"/>
        <v>#DIV/0!</v>
      </c>
      <c r="E264" s="26" t="e">
        <f t="shared" si="11"/>
        <v>#DIV/0!</v>
      </c>
    </row>
    <row r="265" spans="2:5">
      <c r="B265" s="3"/>
      <c r="C265" s="26">
        <f t="shared" si="9"/>
        <v>0</v>
      </c>
      <c r="D265" s="26" t="e">
        <f t="shared" si="10"/>
        <v>#DIV/0!</v>
      </c>
      <c r="E265" s="26" t="e">
        <f t="shared" si="11"/>
        <v>#DIV/0!</v>
      </c>
    </row>
    <row r="266" spans="2:5">
      <c r="B266" s="3"/>
      <c r="C266" s="26">
        <f t="shared" si="9"/>
        <v>0</v>
      </c>
      <c r="D266" s="26" t="e">
        <f t="shared" si="10"/>
        <v>#DIV/0!</v>
      </c>
      <c r="E266" s="26" t="e">
        <f t="shared" si="11"/>
        <v>#DIV/0!</v>
      </c>
    </row>
    <row r="267" spans="2:5">
      <c r="B267" s="3"/>
      <c r="C267" s="26">
        <f t="shared" si="9"/>
        <v>0</v>
      </c>
      <c r="D267" s="26" t="e">
        <f t="shared" si="10"/>
        <v>#DIV/0!</v>
      </c>
      <c r="E267" s="26" t="e">
        <f t="shared" si="11"/>
        <v>#DIV/0!</v>
      </c>
    </row>
    <row r="268" spans="2:5">
      <c r="B268" s="3"/>
      <c r="C268" s="26">
        <f t="shared" si="9"/>
        <v>0</v>
      </c>
      <c r="D268" s="26" t="e">
        <f t="shared" si="10"/>
        <v>#DIV/0!</v>
      </c>
      <c r="E268" s="26" t="e">
        <f t="shared" si="11"/>
        <v>#DIV/0!</v>
      </c>
    </row>
    <row r="269" spans="2:5">
      <c r="B269" s="3"/>
      <c r="C269" s="26">
        <f t="shared" si="9"/>
        <v>0</v>
      </c>
      <c r="D269" s="26" t="e">
        <f t="shared" si="10"/>
        <v>#DIV/0!</v>
      </c>
      <c r="E269" s="26" t="e">
        <f t="shared" si="11"/>
        <v>#DIV/0!</v>
      </c>
    </row>
    <row r="270" spans="2:5">
      <c r="B270" s="3"/>
      <c r="C270" s="26">
        <f t="shared" si="9"/>
        <v>0</v>
      </c>
      <c r="D270" s="26" t="e">
        <f t="shared" si="10"/>
        <v>#DIV/0!</v>
      </c>
      <c r="E270" s="26" t="e">
        <f t="shared" si="11"/>
        <v>#DIV/0!</v>
      </c>
    </row>
    <row r="271" spans="2:5">
      <c r="B271" s="3"/>
      <c r="C271" s="26">
        <f t="shared" si="9"/>
        <v>0</v>
      </c>
      <c r="D271" s="26" t="e">
        <f t="shared" si="10"/>
        <v>#DIV/0!</v>
      </c>
      <c r="E271" s="26" t="e">
        <f t="shared" si="11"/>
        <v>#DIV/0!</v>
      </c>
    </row>
    <row r="272" spans="2:5">
      <c r="B272" s="3"/>
      <c r="C272" s="26">
        <f t="shared" si="9"/>
        <v>0</v>
      </c>
      <c r="D272" s="26" t="e">
        <f t="shared" si="10"/>
        <v>#DIV/0!</v>
      </c>
      <c r="E272" s="26" t="e">
        <f t="shared" si="11"/>
        <v>#DIV/0!</v>
      </c>
    </row>
    <row r="273" spans="2:5">
      <c r="B273" s="3"/>
      <c r="C273" s="26">
        <f t="shared" si="9"/>
        <v>0</v>
      </c>
      <c r="D273" s="26" t="e">
        <f t="shared" si="10"/>
        <v>#DIV/0!</v>
      </c>
      <c r="E273" s="26" t="e">
        <f t="shared" si="11"/>
        <v>#DIV/0!</v>
      </c>
    </row>
    <row r="274" spans="2:5">
      <c r="B274" s="3"/>
      <c r="C274" s="26">
        <f t="shared" si="9"/>
        <v>0</v>
      </c>
      <c r="D274" s="26" t="e">
        <f t="shared" si="10"/>
        <v>#DIV/0!</v>
      </c>
      <c r="E274" s="26" t="e">
        <f t="shared" si="11"/>
        <v>#DIV/0!</v>
      </c>
    </row>
    <row r="275" spans="2:5">
      <c r="B275" s="3"/>
      <c r="C275" s="26">
        <f t="shared" ref="C275:C305" si="12">B275/$F$7</f>
        <v>0</v>
      </c>
      <c r="D275" s="26" t="e">
        <f t="shared" ref="D275:D305" si="13">$I$10*C275/SQRT(1/$I$8^2+(C275-1/C275)^2)</f>
        <v>#DIV/0!</v>
      </c>
      <c r="E275" s="26" t="e">
        <f t="shared" ref="E275:E305" si="14">20*LOG10(D275/(2/100000))</f>
        <v>#DIV/0!</v>
      </c>
    </row>
    <row r="276" spans="2:5">
      <c r="B276" s="3"/>
      <c r="C276" s="26">
        <f t="shared" si="12"/>
        <v>0</v>
      </c>
      <c r="D276" s="26" t="e">
        <f t="shared" si="13"/>
        <v>#DIV/0!</v>
      </c>
      <c r="E276" s="26" t="e">
        <f t="shared" si="14"/>
        <v>#DIV/0!</v>
      </c>
    </row>
    <row r="277" spans="2:5">
      <c r="B277" s="3"/>
      <c r="C277" s="26">
        <f t="shared" si="12"/>
        <v>0</v>
      </c>
      <c r="D277" s="26" t="e">
        <f t="shared" si="13"/>
        <v>#DIV/0!</v>
      </c>
      <c r="E277" s="26" t="e">
        <f t="shared" si="14"/>
        <v>#DIV/0!</v>
      </c>
    </row>
    <row r="278" spans="2:5">
      <c r="B278" s="3"/>
      <c r="C278" s="26">
        <f t="shared" si="12"/>
        <v>0</v>
      </c>
      <c r="D278" s="26" t="e">
        <f t="shared" si="13"/>
        <v>#DIV/0!</v>
      </c>
      <c r="E278" s="26" t="e">
        <f t="shared" si="14"/>
        <v>#DIV/0!</v>
      </c>
    </row>
    <row r="279" spans="2:5">
      <c r="B279" s="3"/>
      <c r="C279" s="26">
        <f t="shared" si="12"/>
        <v>0</v>
      </c>
      <c r="D279" s="26" t="e">
        <f t="shared" si="13"/>
        <v>#DIV/0!</v>
      </c>
      <c r="E279" s="26" t="e">
        <f t="shared" si="14"/>
        <v>#DIV/0!</v>
      </c>
    </row>
    <row r="280" spans="2:5">
      <c r="B280" s="3"/>
      <c r="C280" s="26">
        <f t="shared" si="12"/>
        <v>0</v>
      </c>
      <c r="D280" s="26" t="e">
        <f t="shared" si="13"/>
        <v>#DIV/0!</v>
      </c>
      <c r="E280" s="26" t="e">
        <f t="shared" si="14"/>
        <v>#DIV/0!</v>
      </c>
    </row>
    <row r="281" spans="2:5">
      <c r="B281" s="3"/>
      <c r="C281" s="26">
        <f t="shared" si="12"/>
        <v>0</v>
      </c>
      <c r="D281" s="26" t="e">
        <f t="shared" si="13"/>
        <v>#DIV/0!</v>
      </c>
      <c r="E281" s="26" t="e">
        <f t="shared" si="14"/>
        <v>#DIV/0!</v>
      </c>
    </row>
    <row r="282" spans="2:5">
      <c r="B282" s="3"/>
      <c r="C282" s="26">
        <f t="shared" si="12"/>
        <v>0</v>
      </c>
      <c r="D282" s="26" t="e">
        <f t="shared" si="13"/>
        <v>#DIV/0!</v>
      </c>
      <c r="E282" s="26" t="e">
        <f t="shared" si="14"/>
        <v>#DIV/0!</v>
      </c>
    </row>
    <row r="283" spans="2:5">
      <c r="B283" s="3"/>
      <c r="C283" s="26">
        <f t="shared" si="12"/>
        <v>0</v>
      </c>
      <c r="D283" s="26" t="e">
        <f t="shared" si="13"/>
        <v>#DIV/0!</v>
      </c>
      <c r="E283" s="26" t="e">
        <f t="shared" si="14"/>
        <v>#DIV/0!</v>
      </c>
    </row>
    <row r="284" spans="2:5">
      <c r="B284" s="3"/>
      <c r="C284" s="26">
        <f t="shared" si="12"/>
        <v>0</v>
      </c>
      <c r="D284" s="26" t="e">
        <f t="shared" si="13"/>
        <v>#DIV/0!</v>
      </c>
      <c r="E284" s="26" t="e">
        <f t="shared" si="14"/>
        <v>#DIV/0!</v>
      </c>
    </row>
    <row r="285" spans="2:5">
      <c r="B285" s="3"/>
      <c r="C285" s="26">
        <f t="shared" si="12"/>
        <v>0</v>
      </c>
      <c r="D285" s="26" t="e">
        <f t="shared" si="13"/>
        <v>#DIV/0!</v>
      </c>
      <c r="E285" s="26" t="e">
        <f t="shared" si="14"/>
        <v>#DIV/0!</v>
      </c>
    </row>
    <row r="286" spans="2:5">
      <c r="B286" s="3"/>
      <c r="C286" s="26">
        <f t="shared" si="12"/>
        <v>0</v>
      </c>
      <c r="D286" s="26" t="e">
        <f t="shared" si="13"/>
        <v>#DIV/0!</v>
      </c>
      <c r="E286" s="26" t="e">
        <f t="shared" si="14"/>
        <v>#DIV/0!</v>
      </c>
    </row>
    <row r="287" spans="2:5">
      <c r="B287" s="3"/>
      <c r="C287" s="26">
        <f t="shared" si="12"/>
        <v>0</v>
      </c>
      <c r="D287" s="26" t="e">
        <f t="shared" si="13"/>
        <v>#DIV/0!</v>
      </c>
      <c r="E287" s="26" t="e">
        <f t="shared" si="14"/>
        <v>#DIV/0!</v>
      </c>
    </row>
    <row r="288" spans="2:5">
      <c r="B288" s="3"/>
      <c r="C288" s="26">
        <f t="shared" si="12"/>
        <v>0</v>
      </c>
      <c r="D288" s="26" t="e">
        <f t="shared" si="13"/>
        <v>#DIV/0!</v>
      </c>
      <c r="E288" s="26" t="e">
        <f t="shared" si="14"/>
        <v>#DIV/0!</v>
      </c>
    </row>
    <row r="289" spans="2:5">
      <c r="B289" s="3"/>
      <c r="C289" s="26">
        <f t="shared" si="12"/>
        <v>0</v>
      </c>
      <c r="D289" s="26" t="e">
        <f t="shared" si="13"/>
        <v>#DIV/0!</v>
      </c>
      <c r="E289" s="26" t="e">
        <f t="shared" si="14"/>
        <v>#DIV/0!</v>
      </c>
    </row>
    <row r="290" spans="2:5">
      <c r="B290" s="3"/>
      <c r="C290" s="26">
        <f t="shared" si="12"/>
        <v>0</v>
      </c>
      <c r="D290" s="26" t="e">
        <f t="shared" si="13"/>
        <v>#DIV/0!</v>
      </c>
      <c r="E290" s="26" t="e">
        <f t="shared" si="14"/>
        <v>#DIV/0!</v>
      </c>
    </row>
    <row r="291" spans="2:5">
      <c r="B291" s="3"/>
      <c r="C291" s="26">
        <f t="shared" si="12"/>
        <v>0</v>
      </c>
      <c r="D291" s="26" t="e">
        <f t="shared" si="13"/>
        <v>#DIV/0!</v>
      </c>
      <c r="E291" s="26" t="e">
        <f t="shared" si="14"/>
        <v>#DIV/0!</v>
      </c>
    </row>
    <row r="292" spans="2:5">
      <c r="B292" s="3"/>
      <c r="C292" s="26">
        <f t="shared" si="12"/>
        <v>0</v>
      </c>
      <c r="D292" s="26" t="e">
        <f t="shared" si="13"/>
        <v>#DIV/0!</v>
      </c>
      <c r="E292" s="26" t="e">
        <f t="shared" si="14"/>
        <v>#DIV/0!</v>
      </c>
    </row>
    <row r="293" spans="2:5">
      <c r="B293" s="3"/>
      <c r="C293" s="26">
        <f t="shared" si="12"/>
        <v>0</v>
      </c>
      <c r="D293" s="26" t="e">
        <f t="shared" si="13"/>
        <v>#DIV/0!</v>
      </c>
      <c r="E293" s="26" t="e">
        <f t="shared" si="14"/>
        <v>#DIV/0!</v>
      </c>
    </row>
    <row r="294" spans="2:5">
      <c r="B294" s="3"/>
      <c r="C294" s="26">
        <f t="shared" si="12"/>
        <v>0</v>
      </c>
      <c r="D294" s="26" t="e">
        <f t="shared" si="13"/>
        <v>#DIV/0!</v>
      </c>
      <c r="E294" s="26" t="e">
        <f t="shared" si="14"/>
        <v>#DIV/0!</v>
      </c>
    </row>
    <row r="295" spans="2:5">
      <c r="B295" s="3"/>
      <c r="C295" s="26">
        <f t="shared" si="12"/>
        <v>0</v>
      </c>
      <c r="D295" s="26" t="e">
        <f t="shared" si="13"/>
        <v>#DIV/0!</v>
      </c>
      <c r="E295" s="26" t="e">
        <f t="shared" si="14"/>
        <v>#DIV/0!</v>
      </c>
    </row>
    <row r="296" spans="2:5">
      <c r="B296" s="3"/>
      <c r="C296" s="26">
        <f t="shared" si="12"/>
        <v>0</v>
      </c>
      <c r="D296" s="26" t="e">
        <f t="shared" si="13"/>
        <v>#DIV/0!</v>
      </c>
      <c r="E296" s="26" t="e">
        <f t="shared" si="14"/>
        <v>#DIV/0!</v>
      </c>
    </row>
    <row r="297" spans="2:5">
      <c r="B297" s="3"/>
      <c r="C297" s="26">
        <f t="shared" si="12"/>
        <v>0</v>
      </c>
      <c r="D297" s="26" t="e">
        <f t="shared" si="13"/>
        <v>#DIV/0!</v>
      </c>
      <c r="E297" s="26" t="e">
        <f t="shared" si="14"/>
        <v>#DIV/0!</v>
      </c>
    </row>
    <row r="298" spans="2:5">
      <c r="B298" s="3"/>
      <c r="C298" s="26">
        <f t="shared" si="12"/>
        <v>0</v>
      </c>
      <c r="D298" s="26" t="e">
        <f t="shared" si="13"/>
        <v>#DIV/0!</v>
      </c>
      <c r="E298" s="26" t="e">
        <f t="shared" si="14"/>
        <v>#DIV/0!</v>
      </c>
    </row>
    <row r="299" spans="2:5">
      <c r="B299" s="3"/>
      <c r="C299" s="26">
        <f t="shared" si="12"/>
        <v>0</v>
      </c>
      <c r="D299" s="26" t="e">
        <f t="shared" si="13"/>
        <v>#DIV/0!</v>
      </c>
      <c r="E299" s="26" t="e">
        <f t="shared" si="14"/>
        <v>#DIV/0!</v>
      </c>
    </row>
    <row r="300" spans="2:5">
      <c r="B300" s="3"/>
      <c r="C300" s="26">
        <f t="shared" si="12"/>
        <v>0</v>
      </c>
      <c r="D300" s="26" t="e">
        <f t="shared" si="13"/>
        <v>#DIV/0!</v>
      </c>
      <c r="E300" s="26" t="e">
        <f t="shared" si="14"/>
        <v>#DIV/0!</v>
      </c>
    </row>
    <row r="301" spans="2:5">
      <c r="B301" s="3"/>
      <c r="C301" s="26">
        <f t="shared" si="12"/>
        <v>0</v>
      </c>
      <c r="D301" s="26" t="e">
        <f t="shared" si="13"/>
        <v>#DIV/0!</v>
      </c>
      <c r="E301" s="26" t="e">
        <f t="shared" si="14"/>
        <v>#DIV/0!</v>
      </c>
    </row>
    <row r="302" spans="2:5">
      <c r="B302" s="3"/>
      <c r="C302" s="26">
        <f t="shared" si="12"/>
        <v>0</v>
      </c>
      <c r="D302" s="26" t="e">
        <f t="shared" si="13"/>
        <v>#DIV/0!</v>
      </c>
      <c r="E302" s="26" t="e">
        <f t="shared" si="14"/>
        <v>#DIV/0!</v>
      </c>
    </row>
    <row r="303" spans="2:5">
      <c r="B303" s="3"/>
      <c r="C303" s="26">
        <f t="shared" si="12"/>
        <v>0</v>
      </c>
      <c r="D303" s="26" t="e">
        <f t="shared" si="13"/>
        <v>#DIV/0!</v>
      </c>
      <c r="E303" s="26" t="e">
        <f t="shared" si="14"/>
        <v>#DIV/0!</v>
      </c>
    </row>
    <row r="304" spans="2:5">
      <c r="B304" s="3"/>
      <c r="C304" s="26">
        <f t="shared" si="12"/>
        <v>0</v>
      </c>
      <c r="D304" s="26" t="e">
        <f t="shared" si="13"/>
        <v>#DIV/0!</v>
      </c>
      <c r="E304" s="26" t="e">
        <f t="shared" si="14"/>
        <v>#DIV/0!</v>
      </c>
    </row>
    <row r="305" spans="2:5">
      <c r="B305" s="3"/>
      <c r="C305" s="26">
        <f t="shared" si="12"/>
        <v>0</v>
      </c>
      <c r="D305" s="26" t="e">
        <f t="shared" si="13"/>
        <v>#DIV/0!</v>
      </c>
      <c r="E305" s="26" t="e">
        <f t="shared" si="14"/>
        <v>#DIV/0!</v>
      </c>
    </row>
  </sheetData>
  <phoneticPr fontId="1"/>
  <conditionalFormatting sqref="E17:E1048576 E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{39E42D16-4674-4808-B9CE-B47BEB164541}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E42D16-4674-4808-B9CE-B47BEB1645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E17:E1048576 E1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1"/>
  <sheetViews>
    <sheetView zoomScale="70" zoomScaleNormal="70" workbookViewId="0">
      <selection activeCell="F8" sqref="F8"/>
    </sheetView>
  </sheetViews>
  <sheetFormatPr defaultColWidth="8.875" defaultRowHeight="18.75"/>
  <cols>
    <col min="1" max="1" width="8.875" style="3"/>
    <col min="2" max="3" width="14.375" style="3" customWidth="1"/>
    <col min="4" max="4" width="9.625" style="3" bestFit="1" customWidth="1"/>
    <col min="5" max="5" width="8.875" style="3"/>
    <col min="6" max="6" width="12.875" style="3" bestFit="1" customWidth="1"/>
    <col min="7" max="7" width="12.875" style="3" customWidth="1"/>
    <col min="8" max="8" width="8.875" style="3"/>
    <col min="9" max="10" width="16.625" style="3" customWidth="1"/>
    <col min="11" max="14" width="8.875" style="3"/>
    <col min="15" max="16" width="16.625" style="3" customWidth="1"/>
    <col min="17" max="16384" width="8.875" style="3"/>
  </cols>
  <sheetData>
    <row r="2" spans="2:19">
      <c r="B2" s="1"/>
      <c r="C2" s="1"/>
      <c r="D2" s="1"/>
      <c r="E2" s="1"/>
      <c r="F2" s="1"/>
      <c r="G2" s="1"/>
      <c r="H2" s="1"/>
      <c r="I2" s="1"/>
      <c r="J2" s="1"/>
      <c r="K2" s="1"/>
    </row>
    <row r="3" spans="2:19">
      <c r="B3" s="31" t="s">
        <v>9</v>
      </c>
      <c r="C3" s="2"/>
      <c r="D3" s="2" t="s">
        <v>0</v>
      </c>
      <c r="E3" s="2" t="s">
        <v>1</v>
      </c>
      <c r="F3" s="1"/>
      <c r="G3" s="1"/>
    </row>
    <row r="4" spans="2:19">
      <c r="B4" s="2" t="s">
        <v>3</v>
      </c>
      <c r="C4" s="2"/>
      <c r="D4" s="2">
        <v>8</v>
      </c>
      <c r="E4" s="2" t="s">
        <v>2</v>
      </c>
      <c r="F4" s="1"/>
      <c r="G4" s="1"/>
      <c r="I4" s="52" t="s">
        <v>14</v>
      </c>
      <c r="J4" s="51" t="s">
        <v>20</v>
      </c>
      <c r="K4" s="32" t="s">
        <v>11</v>
      </c>
      <c r="L4" s="4">
        <f>1/(2*PI()*$D$9*$D$10)*10^6</f>
        <v>4.4209706414415377</v>
      </c>
      <c r="M4" s="2" t="s">
        <v>8</v>
      </c>
      <c r="O4" s="51" t="s">
        <v>23</v>
      </c>
      <c r="P4" s="51" t="s">
        <v>16</v>
      </c>
      <c r="Q4" s="34" t="s">
        <v>11</v>
      </c>
      <c r="R4" s="4">
        <f>0.0844/($D$9*$D$10)*10^6</f>
        <v>2.3444444444444446</v>
      </c>
      <c r="S4" s="2" t="s">
        <v>8</v>
      </c>
    </row>
    <row r="5" spans="2:19">
      <c r="B5" s="2" t="s">
        <v>5</v>
      </c>
      <c r="C5" s="2"/>
      <c r="D5" s="2">
        <v>10000</v>
      </c>
      <c r="E5" s="2" t="s">
        <v>4</v>
      </c>
      <c r="F5" s="1"/>
      <c r="G5" s="1"/>
      <c r="I5" s="52"/>
      <c r="J5" s="51"/>
      <c r="K5" s="31" t="s">
        <v>12</v>
      </c>
      <c r="L5" s="4">
        <f>$D$4/(6.28*D5)*10^3</f>
        <v>0.12738853503184713</v>
      </c>
      <c r="M5" s="4" t="s">
        <v>13</v>
      </c>
      <c r="O5" s="51"/>
      <c r="P5" s="51"/>
      <c r="Q5" s="34" t="s">
        <v>17</v>
      </c>
      <c r="R5" s="4">
        <f>0.1688/($D$9*$D$10)*10^6</f>
        <v>4.6888888888888891</v>
      </c>
      <c r="S5" s="2" t="s">
        <v>8</v>
      </c>
    </row>
    <row r="6" spans="2:19">
      <c r="B6" s="2" t="s">
        <v>7</v>
      </c>
      <c r="C6" s="2"/>
      <c r="D6" s="2">
        <v>90</v>
      </c>
      <c r="E6" s="2" t="s">
        <v>6</v>
      </c>
      <c r="F6" s="1"/>
      <c r="G6" s="1"/>
      <c r="I6" s="51" t="s">
        <v>15</v>
      </c>
      <c r="J6" s="51" t="s">
        <v>16</v>
      </c>
      <c r="K6" s="34" t="s">
        <v>11</v>
      </c>
      <c r="L6" s="4">
        <f>0.0796/($D$9*$D$10)*10^6</f>
        <v>2.2111111111111112</v>
      </c>
      <c r="M6" s="2" t="s">
        <v>8</v>
      </c>
      <c r="O6" s="51"/>
      <c r="P6" s="51"/>
      <c r="Q6" s="34" t="s">
        <v>12</v>
      </c>
      <c r="R6" s="4">
        <f>0.1*$D$9/$D$10*10^3</f>
        <v>3.6000000000000004E-2</v>
      </c>
      <c r="S6" s="4" t="s">
        <v>13</v>
      </c>
    </row>
    <row r="7" spans="2:19">
      <c r="I7" s="51"/>
      <c r="J7" s="51"/>
      <c r="K7" s="34" t="s">
        <v>12</v>
      </c>
      <c r="L7" s="4">
        <f>0.3183*$D$9/$D$10*10^3</f>
        <v>0.11458800000000002</v>
      </c>
      <c r="M7" s="4" t="s">
        <v>13</v>
      </c>
      <c r="O7" s="51"/>
      <c r="P7" s="51"/>
      <c r="Q7" s="34" t="s">
        <v>18</v>
      </c>
      <c r="R7" s="4">
        <f>0.4501*$D$9/$D$10*10^3</f>
        <v>0.16203600000000001</v>
      </c>
      <c r="S7" s="4" t="s">
        <v>13</v>
      </c>
    </row>
    <row r="8" spans="2:19">
      <c r="B8" s="32" t="s">
        <v>10</v>
      </c>
      <c r="C8" s="2"/>
      <c r="D8" s="2" t="s">
        <v>0</v>
      </c>
      <c r="E8" s="2" t="s">
        <v>1</v>
      </c>
      <c r="I8" s="51"/>
      <c r="J8" s="51"/>
      <c r="K8" s="33" t="s">
        <v>17</v>
      </c>
      <c r="L8" s="4">
        <f>0.0796/($D$4*$D$5)*10^6</f>
        <v>0.995</v>
      </c>
      <c r="M8" s="2" t="s">
        <v>8</v>
      </c>
      <c r="O8" s="51"/>
      <c r="P8" s="51"/>
      <c r="Q8" s="33" t="s">
        <v>25</v>
      </c>
      <c r="R8" s="4">
        <f>0.2533/($D$4*$D$5)*10^6</f>
        <v>3.1662500000000002</v>
      </c>
      <c r="S8" s="2" t="s">
        <v>8</v>
      </c>
    </row>
    <row r="9" spans="2:19">
      <c r="B9" s="2" t="s">
        <v>3</v>
      </c>
      <c r="C9" s="2"/>
      <c r="D9" s="2">
        <v>3.6</v>
      </c>
      <c r="E9" s="2" t="s">
        <v>2</v>
      </c>
      <c r="I9" s="51"/>
      <c r="J9" s="51"/>
      <c r="K9" s="33" t="s">
        <v>18</v>
      </c>
      <c r="L9" s="4">
        <f>0.3183*$D$4/$D$5*10^3</f>
        <v>0.25464000000000003</v>
      </c>
      <c r="M9" s="4" t="s">
        <v>13</v>
      </c>
      <c r="O9" s="51"/>
      <c r="P9" s="51"/>
      <c r="Q9" s="33" t="s">
        <v>26</v>
      </c>
      <c r="R9" s="4">
        <f>0.0563/($D$4*$D$5)*10^6</f>
        <v>0.70374999999999999</v>
      </c>
      <c r="S9" s="2" t="s">
        <v>8</v>
      </c>
    </row>
    <row r="10" spans="2:19">
      <c r="B10" s="2" t="s">
        <v>5</v>
      </c>
      <c r="C10" s="2"/>
      <c r="D10" s="2">
        <v>10000</v>
      </c>
      <c r="E10" s="2" t="s">
        <v>4</v>
      </c>
      <c r="I10" s="51"/>
      <c r="J10" s="51" t="s">
        <v>19</v>
      </c>
      <c r="K10" s="34" t="s">
        <v>11</v>
      </c>
      <c r="L10" s="4">
        <f>0.0912/($D$9*$D$10)*10^6</f>
        <v>2.5333333333333332</v>
      </c>
      <c r="M10" s="2" t="s">
        <v>8</v>
      </c>
      <c r="O10" s="51"/>
      <c r="P10" s="51"/>
      <c r="Q10" s="33" t="s">
        <v>24</v>
      </c>
      <c r="R10" s="4">
        <f>0.3*$D$4/$D$5*10^3</f>
        <v>0.24</v>
      </c>
      <c r="S10" s="4" t="s">
        <v>13</v>
      </c>
    </row>
    <row r="11" spans="2:19">
      <c r="B11" s="2" t="s">
        <v>7</v>
      </c>
      <c r="C11" s="2"/>
      <c r="D11" s="2">
        <v>90</v>
      </c>
      <c r="E11" s="2" t="s">
        <v>6</v>
      </c>
      <c r="I11" s="51"/>
      <c r="J11" s="51"/>
      <c r="K11" s="34" t="s">
        <v>12</v>
      </c>
      <c r="L11" s="4">
        <f>0.2756*$D$9/$D$10*10^3</f>
        <v>9.9216000000000013E-2</v>
      </c>
      <c r="M11" s="4" t="s">
        <v>13</v>
      </c>
      <c r="O11" s="51"/>
      <c r="P11" s="51"/>
      <c r="Q11" s="33" t="s">
        <v>27</v>
      </c>
      <c r="R11" s="4">
        <f>0.15*$D$4/$D$5*10^3</f>
        <v>0.12</v>
      </c>
      <c r="S11" s="4" t="s">
        <v>13</v>
      </c>
    </row>
    <row r="12" spans="2:19">
      <c r="I12" s="51"/>
      <c r="J12" s="51"/>
      <c r="K12" s="33" t="s">
        <v>17</v>
      </c>
      <c r="L12" s="4">
        <f>0.0912/($D$4*$D$5)*10^6</f>
        <v>1.1400000000000001</v>
      </c>
      <c r="M12" s="2" t="s">
        <v>8</v>
      </c>
      <c r="O12" s="51"/>
      <c r="P12" s="51" t="s">
        <v>19</v>
      </c>
      <c r="Q12" s="34" t="s">
        <v>11</v>
      </c>
      <c r="R12" s="4">
        <f>0.0702/($D$9*$D$10)*10^6</f>
        <v>1.95</v>
      </c>
      <c r="S12" s="2" t="s">
        <v>8</v>
      </c>
    </row>
    <row r="13" spans="2:19">
      <c r="I13" s="51"/>
      <c r="J13" s="51"/>
      <c r="K13" s="33" t="s">
        <v>18</v>
      </c>
      <c r="L13" s="4">
        <f>0.2756*$D$4/$D$5*10^3</f>
        <v>0.22048000000000001</v>
      </c>
      <c r="M13" s="4" t="s">
        <v>13</v>
      </c>
      <c r="O13" s="51"/>
      <c r="P13" s="51"/>
      <c r="Q13" s="34" t="s">
        <v>17</v>
      </c>
      <c r="R13" s="4">
        <f>0.0719/($D$9*$D$10)*10^6</f>
        <v>1.9972222222222225</v>
      </c>
      <c r="S13" s="2" t="s">
        <v>8</v>
      </c>
    </row>
    <row r="14" spans="2:19">
      <c r="I14" s="51"/>
      <c r="J14" s="51" t="s">
        <v>20</v>
      </c>
      <c r="K14" s="34" t="s">
        <v>11</v>
      </c>
      <c r="L14" s="4">
        <f>0.1125/($D$9*$D$10)*10^6</f>
        <v>3.125</v>
      </c>
      <c r="M14" s="2" t="s">
        <v>8</v>
      </c>
      <c r="O14" s="51"/>
      <c r="P14" s="51"/>
      <c r="Q14" s="34" t="s">
        <v>12</v>
      </c>
      <c r="R14" s="4">
        <f>0.862*$D$9/$D$10*10^3</f>
        <v>0.31031999999999998</v>
      </c>
      <c r="S14" s="4" t="s">
        <v>13</v>
      </c>
    </row>
    <row r="15" spans="2:19">
      <c r="I15" s="51"/>
      <c r="J15" s="51"/>
      <c r="K15" s="34" t="s">
        <v>12</v>
      </c>
      <c r="L15" s="4">
        <f>0.2251*$D$9/$D$10*10^3</f>
        <v>8.1035999999999997E-2</v>
      </c>
      <c r="M15" s="4" t="s">
        <v>13</v>
      </c>
      <c r="O15" s="51"/>
      <c r="P15" s="51"/>
      <c r="Q15" s="34" t="s">
        <v>18</v>
      </c>
      <c r="R15" s="4">
        <f>0.4983*$D$9/$D$10*10^3</f>
        <v>0.17938800000000002</v>
      </c>
      <c r="S15" s="4" t="s">
        <v>13</v>
      </c>
    </row>
    <row r="16" spans="2:19">
      <c r="I16" s="51"/>
      <c r="J16" s="51"/>
      <c r="K16" s="33" t="s">
        <v>17</v>
      </c>
      <c r="L16" s="4">
        <f>0.1125/($D$4*$D$5)*10^6</f>
        <v>1.40625</v>
      </c>
      <c r="M16" s="2" t="s">
        <v>8</v>
      </c>
      <c r="O16" s="51"/>
      <c r="P16" s="51"/>
      <c r="Q16" s="33" t="s">
        <v>25</v>
      </c>
      <c r="R16" s="4">
        <f>0.2336/($D$4*$D$5)*10^6</f>
        <v>2.92</v>
      </c>
      <c r="S16" s="2" t="s">
        <v>8</v>
      </c>
    </row>
    <row r="17" spans="9:19">
      <c r="I17" s="51"/>
      <c r="J17" s="51"/>
      <c r="K17" s="33" t="s">
        <v>18</v>
      </c>
      <c r="L17" s="4">
        <f>0.2251*$D$4/$D$5*10^3</f>
        <v>0.18007999999999999</v>
      </c>
      <c r="M17" s="4" t="s">
        <v>13</v>
      </c>
      <c r="O17" s="51"/>
      <c r="P17" s="51"/>
      <c r="Q17" s="33" t="s">
        <v>26</v>
      </c>
      <c r="R17" s="4">
        <f>0.0504/($D$4*$D$5)*10^6</f>
        <v>0.63</v>
      </c>
      <c r="S17" s="2" t="s">
        <v>8</v>
      </c>
    </row>
    <row r="18" spans="9:19">
      <c r="I18" s="51"/>
      <c r="J18" s="51" t="s">
        <v>21</v>
      </c>
      <c r="K18" s="34" t="s">
        <v>11</v>
      </c>
      <c r="L18" s="4">
        <f>0.1592/($D$9*$D$10)*10^6</f>
        <v>4.4222222222222225</v>
      </c>
      <c r="M18" s="2" t="s">
        <v>8</v>
      </c>
      <c r="O18" s="51"/>
      <c r="P18" s="51"/>
      <c r="Q18" s="33" t="s">
        <v>24</v>
      </c>
      <c r="R18" s="4">
        <f>0.3583*$D$4/$D$5*10^3</f>
        <v>0.28664000000000001</v>
      </c>
      <c r="S18" s="4" t="s">
        <v>13</v>
      </c>
    </row>
    <row r="19" spans="9:19">
      <c r="I19" s="51"/>
      <c r="J19" s="51"/>
      <c r="K19" s="34" t="s">
        <v>12</v>
      </c>
      <c r="L19" s="4">
        <f>0.1592*$D$9/$D$10*10^3</f>
        <v>5.7312000000000009E-2</v>
      </c>
      <c r="M19" s="4" t="s">
        <v>13</v>
      </c>
      <c r="O19" s="51"/>
      <c r="P19" s="51"/>
      <c r="Q19" s="33" t="s">
        <v>27</v>
      </c>
      <c r="R19" s="4">
        <f>0.1463*$D$4/$D$5*10^3</f>
        <v>0.11704000000000001</v>
      </c>
      <c r="S19" s="4" t="s">
        <v>13</v>
      </c>
    </row>
    <row r="20" spans="9:19">
      <c r="I20" s="51"/>
      <c r="J20" s="51"/>
      <c r="K20" s="33" t="s">
        <v>17</v>
      </c>
      <c r="L20" s="4">
        <f>0.1592/($D$4*$D$5)*10^6</f>
        <v>1.99</v>
      </c>
      <c r="M20" s="2" t="s">
        <v>8</v>
      </c>
      <c r="O20" s="51"/>
      <c r="P20" s="51" t="s">
        <v>20</v>
      </c>
      <c r="Q20" s="34" t="s">
        <v>11</v>
      </c>
      <c r="R20" s="4">
        <f>0.104/($D$9*$D$10)*10^6</f>
        <v>2.8888888888888884</v>
      </c>
      <c r="S20" s="2" t="s">
        <v>8</v>
      </c>
    </row>
    <row r="21" spans="9:19">
      <c r="I21" s="51"/>
      <c r="J21" s="51"/>
      <c r="K21" s="33" t="s">
        <v>18</v>
      </c>
      <c r="L21" s="4">
        <f>0.1592*$D$4/$D$5*10^3</f>
        <v>0.12736</v>
      </c>
      <c r="M21" s="4" t="s">
        <v>13</v>
      </c>
      <c r="O21" s="51"/>
      <c r="P21" s="51"/>
      <c r="Q21" s="34" t="s">
        <v>17</v>
      </c>
      <c r="R21" s="4">
        <f>0.147/($D$9*$D$10)*10^6</f>
        <v>4.083333333333333</v>
      </c>
      <c r="S21" s="2" t="s">
        <v>8</v>
      </c>
    </row>
    <row r="22" spans="9:19">
      <c r="I22" s="51" t="s">
        <v>22</v>
      </c>
      <c r="J22" s="51" t="s">
        <v>20</v>
      </c>
      <c r="K22" s="34" t="s">
        <v>11</v>
      </c>
      <c r="L22" s="4">
        <f>0.1061/($D$9*$D$10)*10^6</f>
        <v>2.9472222222222224</v>
      </c>
      <c r="M22" s="2" t="s">
        <v>8</v>
      </c>
      <c r="O22" s="51"/>
      <c r="P22" s="51"/>
      <c r="Q22" s="34" t="s">
        <v>12</v>
      </c>
      <c r="R22" s="4">
        <f>0.1009*$D$9/$D$10*10^3</f>
        <v>3.6324000000000002E-2</v>
      </c>
      <c r="S22" s="4" t="s">
        <v>13</v>
      </c>
    </row>
    <row r="23" spans="9:19">
      <c r="I23" s="51"/>
      <c r="J23" s="51"/>
      <c r="K23" s="34" t="s">
        <v>17</v>
      </c>
      <c r="L23" s="4">
        <f>0.3183/($D$9*$D$10)*10^6</f>
        <v>8.8416666666666668</v>
      </c>
      <c r="M23" s="2" t="s">
        <v>8</v>
      </c>
      <c r="O23" s="51"/>
      <c r="P23" s="51"/>
      <c r="Q23" s="34" t="s">
        <v>18</v>
      </c>
      <c r="R23" s="4">
        <f>0.4159*$D$9/$D$10*10^3</f>
        <v>0.14972399999999997</v>
      </c>
      <c r="S23" s="4" t="s">
        <v>13</v>
      </c>
    </row>
    <row r="24" spans="9:19">
      <c r="I24" s="51"/>
      <c r="J24" s="51"/>
      <c r="K24" s="34" t="s">
        <v>12</v>
      </c>
      <c r="L24" s="4">
        <f>0.1194*$D$9/$D$10*10^3</f>
        <v>4.2984000000000008E-2</v>
      </c>
      <c r="M24" s="4" t="s">
        <v>13</v>
      </c>
      <c r="O24" s="51"/>
      <c r="P24" s="51"/>
      <c r="Q24" s="33" t="s">
        <v>25</v>
      </c>
      <c r="R24" s="4">
        <f>0.2509/($D$4*$D$5)*10^6</f>
        <v>3.1362500000000004</v>
      </c>
      <c r="S24" s="2" t="s">
        <v>8</v>
      </c>
    </row>
    <row r="25" spans="9:19">
      <c r="I25" s="51"/>
      <c r="J25" s="51"/>
      <c r="K25" s="33" t="s">
        <v>25</v>
      </c>
      <c r="L25" s="4">
        <f>0.2122/($D$4*$D$5)*10^6</f>
        <v>2.6524999999999999</v>
      </c>
      <c r="M25" s="2" t="s">
        <v>8</v>
      </c>
      <c r="O25" s="51"/>
      <c r="P25" s="51"/>
      <c r="Q25" s="33" t="s">
        <v>26</v>
      </c>
      <c r="R25" s="4">
        <f>0.0609/($D$4*$D$5)*10^6</f>
        <v>0.76124999999999998</v>
      </c>
      <c r="S25" s="2" t="s">
        <v>8</v>
      </c>
    </row>
    <row r="26" spans="9:19">
      <c r="I26" s="51"/>
      <c r="J26" s="51"/>
      <c r="K26" s="33" t="s">
        <v>18</v>
      </c>
      <c r="L26" s="4">
        <f>0.2387*$D$4/$D$5*10^3</f>
        <v>0.19095999999999999</v>
      </c>
      <c r="M26" s="4" t="s">
        <v>13</v>
      </c>
      <c r="O26" s="51"/>
      <c r="P26" s="51"/>
      <c r="Q26" s="33" t="s">
        <v>24</v>
      </c>
      <c r="R26" s="4">
        <f>0.2437*$D$4/$D$5*10^3</f>
        <v>0.19495999999999999</v>
      </c>
      <c r="S26" s="4" t="s">
        <v>13</v>
      </c>
    </row>
    <row r="27" spans="9:19">
      <c r="I27" s="51"/>
      <c r="J27" s="51"/>
      <c r="K27" s="33" t="s">
        <v>24</v>
      </c>
      <c r="L27" s="4">
        <f>0.0796*$D$4/$D$5*10^3</f>
        <v>6.368E-2</v>
      </c>
      <c r="M27" s="4" t="s">
        <v>13</v>
      </c>
      <c r="O27" s="51"/>
      <c r="P27" s="51"/>
      <c r="Q27" s="33" t="s">
        <v>27</v>
      </c>
      <c r="R27" s="4">
        <f>0.1723*$D$4/$D$5*10^3</f>
        <v>0.13783999999999999</v>
      </c>
      <c r="S27" s="4" t="s">
        <v>13</v>
      </c>
    </row>
    <row r="28" spans="9:19">
      <c r="O28" s="51"/>
      <c r="P28" s="51" t="s">
        <v>28</v>
      </c>
      <c r="Q28" s="34" t="s">
        <v>11</v>
      </c>
      <c r="R28" s="4">
        <f>0.1104/($D$9*$D$10)*10^6</f>
        <v>3.0666666666666669</v>
      </c>
      <c r="S28" s="2" t="s">
        <v>8</v>
      </c>
    </row>
    <row r="29" spans="9:19">
      <c r="O29" s="51"/>
      <c r="P29" s="51"/>
      <c r="Q29" s="34" t="s">
        <v>17</v>
      </c>
      <c r="R29" s="4">
        <f>0.1246/($D$9*$D$10)*10^6</f>
        <v>3.4611111111111112</v>
      </c>
      <c r="S29" s="2" t="s">
        <v>8</v>
      </c>
    </row>
    <row r="30" spans="9:19">
      <c r="O30" s="51"/>
      <c r="P30" s="51"/>
      <c r="Q30" s="34" t="s">
        <v>12</v>
      </c>
      <c r="R30" s="4">
        <f>0.1073*$D$9/$D$10*10^3</f>
        <v>3.8628000000000003E-2</v>
      </c>
      <c r="S30" s="4" t="s">
        <v>13</v>
      </c>
    </row>
    <row r="31" spans="9:19">
      <c r="O31" s="51"/>
      <c r="P31" s="51"/>
      <c r="Q31" s="34" t="s">
        <v>18</v>
      </c>
      <c r="R31" s="4">
        <f>0.2783*$D$9/$D$10*10^3</f>
        <v>0.10018800000000001</v>
      </c>
      <c r="S31" s="4" t="s">
        <v>13</v>
      </c>
    </row>
    <row r="32" spans="9:19">
      <c r="O32" s="51"/>
      <c r="P32" s="51"/>
      <c r="Q32" s="33" t="s">
        <v>25</v>
      </c>
      <c r="R32" s="4">
        <f>0.2365/($D$4*$D$5)*10^6</f>
        <v>2.9562499999999998</v>
      </c>
      <c r="S32" s="2" t="s">
        <v>8</v>
      </c>
    </row>
    <row r="33" spans="15:19">
      <c r="O33" s="51"/>
      <c r="P33" s="51"/>
      <c r="Q33" s="33" t="s">
        <v>26</v>
      </c>
      <c r="R33" s="4">
        <f>0.091/($D$4*$D$5)*10^6</f>
        <v>1.1375</v>
      </c>
      <c r="S33" s="2" t="s">
        <v>8</v>
      </c>
    </row>
    <row r="34" spans="15:19">
      <c r="O34" s="51"/>
      <c r="P34" s="51"/>
      <c r="Q34" s="33" t="s">
        <v>24</v>
      </c>
      <c r="R34" s="4">
        <f>0.2294*$D$4/$D$5*10^3</f>
        <v>0.18352000000000002</v>
      </c>
      <c r="S34" s="4" t="s">
        <v>13</v>
      </c>
    </row>
    <row r="35" spans="15:19">
      <c r="O35" s="51"/>
      <c r="P35" s="51"/>
      <c r="Q35" s="33" t="s">
        <v>27</v>
      </c>
      <c r="R35" s="4">
        <f>0.2034*$D$4/$D$5*10^3</f>
        <v>0.16271999999999998</v>
      </c>
      <c r="S35" s="4" t="s">
        <v>13</v>
      </c>
    </row>
    <row r="36" spans="15:19">
      <c r="O36" s="51"/>
      <c r="P36" s="51" t="s">
        <v>29</v>
      </c>
      <c r="Q36" s="34" t="s">
        <v>11</v>
      </c>
      <c r="R36" s="4">
        <f>0.0767/($D$9*$D$10)*10^6</f>
        <v>2.1305555555555555</v>
      </c>
      <c r="S36" s="2" t="s">
        <v>8</v>
      </c>
    </row>
    <row r="37" spans="15:19">
      <c r="O37" s="51"/>
      <c r="P37" s="51"/>
      <c r="Q37" s="34" t="s">
        <v>17</v>
      </c>
      <c r="R37" s="4">
        <f>0.1491/($D$9*$D$10)*10^6</f>
        <v>4.1416666666666675</v>
      </c>
      <c r="S37" s="2" t="s">
        <v>8</v>
      </c>
    </row>
    <row r="38" spans="15:19">
      <c r="O38" s="51"/>
      <c r="P38" s="51"/>
      <c r="Q38" s="34" t="s">
        <v>12</v>
      </c>
      <c r="R38" s="4">
        <f>0.1116*$D$9/$D$10*10^3</f>
        <v>4.0176000000000003E-2</v>
      </c>
      <c r="S38" s="4" t="s">
        <v>13</v>
      </c>
    </row>
    <row r="39" spans="15:19">
      <c r="O39" s="51"/>
      <c r="P39" s="51"/>
      <c r="Q39" s="34" t="s">
        <v>18</v>
      </c>
      <c r="R39" s="4">
        <f>0.3251*$D$9/$D$10*10^3</f>
        <v>0.11703600000000002</v>
      </c>
      <c r="S39" s="4" t="s">
        <v>13</v>
      </c>
    </row>
    <row r="40" spans="15:19">
      <c r="O40" s="51"/>
      <c r="P40" s="51"/>
      <c r="Q40" s="33" t="s">
        <v>25</v>
      </c>
      <c r="R40" s="4">
        <f>0.2235/($D$4*$D$5)*10^6</f>
        <v>2.7937500000000002</v>
      </c>
      <c r="S40" s="2" t="s">
        <v>8</v>
      </c>
    </row>
    <row r="41" spans="15:19">
      <c r="O41" s="51"/>
      <c r="P41" s="51"/>
      <c r="Q41" s="33" t="s">
        <v>26</v>
      </c>
      <c r="R41" s="4">
        <f>0.0768/($D$4*$D$5)*10^6</f>
        <v>0.96</v>
      </c>
      <c r="S41" s="2" t="s">
        <v>8</v>
      </c>
    </row>
    <row r="42" spans="15:19">
      <c r="O42" s="51"/>
      <c r="P42" s="51"/>
      <c r="Q42" s="33" t="s">
        <v>24</v>
      </c>
      <c r="R42" s="4">
        <f>0.3253*$D$4/$D$5*10^3</f>
        <v>0.26023999999999997</v>
      </c>
      <c r="S42" s="4" t="s">
        <v>13</v>
      </c>
    </row>
    <row r="43" spans="15:19">
      <c r="O43" s="51"/>
      <c r="P43" s="51"/>
      <c r="Q43" s="33" t="s">
        <v>27</v>
      </c>
      <c r="R43" s="4">
        <f>0.1674*$D$4/$D$5*10^3</f>
        <v>0.13391999999999998</v>
      </c>
      <c r="S43" s="4" t="s">
        <v>13</v>
      </c>
    </row>
    <row r="44" spans="15:19">
      <c r="O44" s="51"/>
      <c r="P44" s="51" t="s">
        <v>30</v>
      </c>
      <c r="Q44" s="34" t="s">
        <v>11</v>
      </c>
      <c r="R44" s="4">
        <f>0.0741/($D$9*$D$10)*10^6</f>
        <v>2.0583333333333331</v>
      </c>
      <c r="S44" s="2" t="s">
        <v>8</v>
      </c>
    </row>
    <row r="45" spans="15:19">
      <c r="O45" s="51"/>
      <c r="P45" s="51"/>
      <c r="Q45" s="34" t="s">
        <v>17</v>
      </c>
      <c r="R45" s="4">
        <f>0.1524/($D$9*$D$10)*10^6</f>
        <v>4.2333333333333334</v>
      </c>
      <c r="S45" s="2" t="s">
        <v>8</v>
      </c>
    </row>
    <row r="46" spans="15:19">
      <c r="O46" s="51"/>
      <c r="P46" s="51"/>
      <c r="Q46" s="34" t="s">
        <v>12</v>
      </c>
      <c r="R46" s="4">
        <f>0.1079*$D$9/$D$10*10^3</f>
        <v>3.8844000000000004E-2</v>
      </c>
      <c r="S46" s="4" t="s">
        <v>13</v>
      </c>
    </row>
    <row r="47" spans="15:19">
      <c r="O47" s="51"/>
      <c r="P47" s="51"/>
      <c r="Q47" s="34" t="s">
        <v>18</v>
      </c>
      <c r="R47" s="4">
        <f>0.3853*$D$9/$D$10*10^3</f>
        <v>0.13870799999999997</v>
      </c>
      <c r="S47" s="4" t="s">
        <v>13</v>
      </c>
    </row>
    <row r="48" spans="15:19">
      <c r="O48" s="51"/>
      <c r="P48" s="51"/>
      <c r="Q48" s="33" t="s">
        <v>25</v>
      </c>
      <c r="R48" s="4">
        <f>0.2255/($D$4*$D$5)*10^6</f>
        <v>2.8187500000000001</v>
      </c>
      <c r="S48" s="2" t="s">
        <v>8</v>
      </c>
    </row>
    <row r="49" spans="15:19">
      <c r="O49" s="51"/>
      <c r="P49" s="51"/>
      <c r="Q49" s="33" t="s">
        <v>26</v>
      </c>
      <c r="R49" s="4">
        <f>0.0632/($D$4*$D$5)*10^6</f>
        <v>0.79</v>
      </c>
      <c r="S49" s="2" t="s">
        <v>8</v>
      </c>
    </row>
    <row r="50" spans="15:19">
      <c r="O50" s="51"/>
      <c r="P50" s="51"/>
      <c r="Q50" s="33" t="s">
        <v>24</v>
      </c>
      <c r="R50" s="4">
        <f>0.3285*$D$4/$D$5*10^3</f>
        <v>0.26279999999999998</v>
      </c>
      <c r="S50" s="4" t="s">
        <v>13</v>
      </c>
    </row>
    <row r="51" spans="15:19">
      <c r="O51" s="51"/>
      <c r="P51" s="51"/>
      <c r="Q51" s="33" t="s">
        <v>27</v>
      </c>
      <c r="R51" s="4">
        <f>0.1578*$D$4/$D$5*10^3</f>
        <v>0.12623999999999999</v>
      </c>
      <c r="S51" s="4" t="s">
        <v>13</v>
      </c>
    </row>
  </sheetData>
  <mergeCells count="16">
    <mergeCell ref="I22:I27"/>
    <mergeCell ref="J22:J27"/>
    <mergeCell ref="O4:O51"/>
    <mergeCell ref="P4:P11"/>
    <mergeCell ref="P12:P19"/>
    <mergeCell ref="P20:P27"/>
    <mergeCell ref="P28:P35"/>
    <mergeCell ref="P36:P43"/>
    <mergeCell ref="P44:P51"/>
    <mergeCell ref="I4:I5"/>
    <mergeCell ref="J4:J5"/>
    <mergeCell ref="I6:I21"/>
    <mergeCell ref="J6:J9"/>
    <mergeCell ref="J10:J13"/>
    <mergeCell ref="J14:J17"/>
    <mergeCell ref="J18:J2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TSparameter関連</vt:lpstr>
      <vt:lpstr>低音域音圧計算</vt:lpstr>
      <vt:lpstr>ネットワーク定数計算</vt:lpstr>
    </vt:vector>
  </TitlesOfParts>
  <Company>住友電気工業株式会社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hasida</dc:creator>
  <cp:lastModifiedBy>FTMY</cp:lastModifiedBy>
  <cp:lastPrinted>2025-12-04T06:51:44Z</cp:lastPrinted>
  <dcterms:created xsi:type="dcterms:W3CDTF">2001-02-23T10:09:41Z</dcterms:created>
  <dcterms:modified xsi:type="dcterms:W3CDTF">2025-12-04T07:15:20Z</dcterms:modified>
</cp:coreProperties>
</file>